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C&amp;S Build Estimates" sheetId="1" r:id="rId1"/>
  </sheets>
  <calcPr calcId="124519" calcMode="manual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1"/>
  <c r="J48"/>
  <c r="J47"/>
  <c r="J46"/>
  <c r="J44"/>
  <c r="J43"/>
  <c r="J42"/>
  <c r="J41"/>
  <c r="J39"/>
  <c r="J38"/>
  <c r="J37"/>
  <c r="J35"/>
  <c r="J34"/>
  <c r="J33"/>
  <c r="J31"/>
  <c r="J29"/>
  <c r="J28"/>
  <c r="J27"/>
  <c r="J26"/>
  <c r="J24"/>
  <c r="J23"/>
  <c r="J22"/>
  <c r="J21"/>
  <c r="J19"/>
  <c r="J18"/>
  <c r="J16"/>
  <c r="J15"/>
  <c r="J14"/>
  <c r="J13"/>
  <c r="J11"/>
  <c r="J10"/>
  <c r="J9"/>
  <c r="J7"/>
  <c r="J6"/>
  <c r="J4"/>
  <c r="J3"/>
  <c r="J8"/>
  <c r="B50"/>
  <c r="K50"/>
  <c r="I50"/>
  <c r="H50"/>
  <c r="G50"/>
  <c r="F50"/>
  <c r="E50"/>
  <c r="D50"/>
  <c r="C50"/>
  <c r="J50" l="1"/>
</calcChain>
</file>

<file path=xl/sharedStrings.xml><?xml version="1.0" encoding="utf-8"?>
<sst xmlns="http://schemas.openxmlformats.org/spreadsheetml/2006/main" count="60" uniqueCount="60">
  <si>
    <t>MyBizz Consulting &amp; Services — Build Cost Estimate</t>
  </si>
  <si>
    <t>Estimates in ZAR. Actual costs recorded where available. All estimates based on Stage 1.2 actuals and scope analysis.</t>
  </si>
  <si>
    <t>Stage</t>
  </si>
  <si>
    <t>UI Scope</t>
  </si>
  <si>
    <t>UI Design</t>
  </si>
  <si>
    <t>Code Draft</t>
  </si>
  <si>
    <t>Code Polish</t>
  </si>
  <si>
    <t>Local Testing</t>
  </si>
  <si>
    <t>Uplink Testing</t>
  </si>
  <si>
    <t>Checks</t>
  </si>
  <si>
    <t>Days</t>
  </si>
  <si>
    <t>PHASE 1 — Authentication &amp; Administration</t>
  </si>
  <si>
    <t>1.1  Project Infrastructure</t>
  </si>
  <si>
    <t>1.2  Authentication System</t>
  </si>
  <si>
    <t>1.3  Dashboard &amp; Navigation</t>
  </si>
  <si>
    <t>1.4  Settings &amp; Configuration</t>
  </si>
  <si>
    <t>1.5  The Vault</t>
  </si>
  <si>
    <t>1.6  AdminLayout — Full Navigation</t>
  </si>
  <si>
    <t>PHASE 2 — Website &amp; Content</t>
  </si>
  <si>
    <t>2.1  Public Website — Standard Pages</t>
  </si>
  <si>
    <t>2.2  Home Page Templates</t>
  </si>
  <si>
    <t>2.3  Landing Pages System</t>
  </si>
  <si>
    <t>2.4  Blog System</t>
  </si>
  <si>
    <t>PHASE 3 — Payments &amp; Invoicing</t>
  </si>
  <si>
    <t>3.1  Payment Gateway (Stripe / Paystack)</t>
  </si>
  <si>
    <t>3.2  Invoicing System</t>
  </si>
  <si>
    <t>PHASE 4 — Bookings &amp; Appointments</t>
  </si>
  <si>
    <t>4.1  Calendar System</t>
  </si>
  <si>
    <t>4.2  Availability Management</t>
  </si>
  <si>
    <t>4.3  Booking Creation Flow</t>
  </si>
  <si>
    <t>4.4  Service Catalogue Management</t>
  </si>
  <si>
    <t>PHASE 5 — CRM &amp; Marketing</t>
  </si>
  <si>
    <t>5.1  Contact Management</t>
  </si>
  <si>
    <t>5.2  Email Marketing (Zoho Campaigns)</t>
  </si>
  <si>
    <t>5.3  Segmentation</t>
  </si>
  <si>
    <t>5.4  Task Automation</t>
  </si>
  <si>
    <t>PHASE 6 — Security &amp; Compliance</t>
  </si>
  <si>
    <t>6.1–6.8  Security, Compliance &amp; Hardening</t>
  </si>
  <si>
    <t>PHASE 7 — Analytics &amp; Reporting</t>
  </si>
  <si>
    <t>7.1  Dashboard Analytics</t>
  </si>
  <si>
    <t>7.2  Revenue Reporting</t>
  </si>
  <si>
    <t>7.3  Customer Analytics</t>
  </si>
  <si>
    <t>PHASE 8 — Vertical Polish</t>
  </si>
  <si>
    <t>8.1  Services Vertical Optimisation</t>
  </si>
  <si>
    <t>8.2  Time Tracking &amp; Billing Polish</t>
  </si>
  <si>
    <t>8.3  Client Portal Polish</t>
  </si>
  <si>
    <t>PHASE 9 — Platform Management</t>
  </si>
  <si>
    <t>9.1  Client Provisioning</t>
  </si>
  <si>
    <t>9.2  Client Monitoring</t>
  </si>
  <si>
    <t>9.3  Update Distribution</t>
  </si>
  <si>
    <t>9.4  Billing Automation</t>
  </si>
  <si>
    <t>PHASE 10 — Launch Preparation</t>
  </si>
  <si>
    <t>10.1  Comprehensive Testing</t>
  </si>
  <si>
    <t>10.2  Documentation</t>
  </si>
  <si>
    <t>10.3  Production Launch</t>
  </si>
  <si>
    <t>TOTAL PROJECT ESTIMATE</t>
  </si>
  <si>
    <t>🟦 Blue values = Actuals recorded   |   White/grey = Estimates   |   Green = Completed stages</t>
  </si>
  <si>
    <t>Note: C&amp;S app is significantly simpler than the 4-vertical platform. Estimates reflect reduced scope — no e-commerce, no shipping, no hospitality, no memberships.</t>
  </si>
  <si>
    <t>Actual spend to date (Stages 1.1–1.3): R107.78</t>
  </si>
  <si>
    <t>Pre-dev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</si>
</sst>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375623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  <bgColor rgb="FF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9" fillId="4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topLeftCell="A31" workbookViewId="0">
      <selection activeCell="B46" sqref="B46:D48"/>
    </sheetView>
  </sheetViews>
  <sheetFormatPr defaultColWidth="8.7109375" defaultRowHeight="15"/>
  <cols>
    <col min="1" max="1" width="38" customWidth="1"/>
    <col min="2" max="7" width="11" customWidth="1"/>
    <col min="8" max="8" width="13" customWidth="1"/>
    <col min="9" max="9" width="11" customWidth="1"/>
    <col min="10" max="10" width="13" customWidth="1"/>
    <col min="11" max="11" width="8" customWidth="1"/>
  </cols>
  <sheetData>
    <row r="1" spans="1:11" ht="27.7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7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6" customHeight="1">
      <c r="J3">
        <f t="shared" ref="J3:J4" si="0">SUM(B3:I3)</f>
        <v>0</v>
      </c>
    </row>
    <row r="4" spans="1:11" ht="21.75" customHeight="1">
      <c r="A4" s="5" t="s">
        <v>2</v>
      </c>
      <c r="B4" s="15" t="s">
        <v>59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>
        <f t="shared" si="0"/>
        <v>0</v>
      </c>
      <c r="K4" s="5" t="s">
        <v>10</v>
      </c>
    </row>
    <row r="5" spans="1:11" ht="18" customHeight="1">
      <c r="A5" s="2" t="s">
        <v>11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75" customHeight="1">
      <c r="A6" s="6" t="s">
        <v>12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8">
        <f t="shared" ref="J6:J7" si="1">SUM(B6:I6)</f>
        <v>0</v>
      </c>
      <c r="K6" s="9">
        <v>0.5</v>
      </c>
    </row>
    <row r="7" spans="1:11" ht="15.75" customHeight="1">
      <c r="A7" s="6" t="s">
        <v>13</v>
      </c>
      <c r="B7" s="7">
        <v>0</v>
      </c>
      <c r="C7" s="7">
        <v>45.73</v>
      </c>
      <c r="D7" s="7">
        <v>98.77</v>
      </c>
      <c r="E7" s="7">
        <v>45.05</v>
      </c>
      <c r="F7" s="7">
        <v>104.21</v>
      </c>
      <c r="G7" s="7">
        <v>28.05</v>
      </c>
      <c r="H7" s="7">
        <v>101.32</v>
      </c>
      <c r="I7" s="7">
        <v>59.16</v>
      </c>
      <c r="J7" s="8">
        <f t="shared" si="1"/>
        <v>482.28999999999996</v>
      </c>
      <c r="K7" s="9">
        <v>2</v>
      </c>
    </row>
    <row r="8" spans="1:11" ht="15.75" customHeight="1">
      <c r="A8" s="6" t="s">
        <v>14</v>
      </c>
      <c r="B8" s="7">
        <v>170</v>
      </c>
      <c r="C8" s="7">
        <v>0</v>
      </c>
      <c r="D8" s="7">
        <v>0</v>
      </c>
      <c r="E8" s="7">
        <v>80</v>
      </c>
      <c r="F8" s="7">
        <v>120</v>
      </c>
      <c r="G8" s="7">
        <v>35</v>
      </c>
      <c r="H8" s="7">
        <v>120</v>
      </c>
      <c r="I8" s="7">
        <v>40</v>
      </c>
      <c r="J8" s="8">
        <f>SUM(B8:I8)</f>
        <v>565</v>
      </c>
      <c r="K8" s="9">
        <v>3</v>
      </c>
    </row>
    <row r="9" spans="1:11" ht="15.75" customHeight="1">
      <c r="A9" s="10" t="s">
        <v>15</v>
      </c>
      <c r="B9" s="13">
        <v>0</v>
      </c>
      <c r="C9" s="13">
        <v>0</v>
      </c>
      <c r="D9" s="13">
        <v>0</v>
      </c>
      <c r="E9" s="11">
        <v>80</v>
      </c>
      <c r="F9" s="11">
        <v>100</v>
      </c>
      <c r="G9" s="11">
        <v>25</v>
      </c>
      <c r="H9" s="11">
        <v>90</v>
      </c>
      <c r="I9" s="11">
        <v>30</v>
      </c>
      <c r="J9" s="12">
        <f t="shared" ref="J9:J11" si="2">SUM(B9:I9)</f>
        <v>325</v>
      </c>
      <c r="K9" s="13">
        <v>2</v>
      </c>
    </row>
    <row r="10" spans="1:11" ht="15.75" customHeight="1">
      <c r="A10" s="10" t="s">
        <v>16</v>
      </c>
      <c r="B10" s="13">
        <v>0</v>
      </c>
      <c r="C10" s="13">
        <v>0</v>
      </c>
      <c r="D10" s="13">
        <v>0</v>
      </c>
      <c r="E10" s="11">
        <v>90</v>
      </c>
      <c r="F10" s="11">
        <v>80</v>
      </c>
      <c r="G10" s="11">
        <v>35</v>
      </c>
      <c r="H10" s="11">
        <v>90</v>
      </c>
      <c r="I10" s="11">
        <v>30</v>
      </c>
      <c r="J10" s="12">
        <f t="shared" si="2"/>
        <v>325</v>
      </c>
      <c r="K10" s="13">
        <v>2</v>
      </c>
    </row>
    <row r="11" spans="1:11" ht="15.75" customHeight="1">
      <c r="A11" s="10" t="s">
        <v>17</v>
      </c>
      <c r="B11" s="13">
        <v>0</v>
      </c>
      <c r="C11" s="13">
        <v>0</v>
      </c>
      <c r="D11" s="13">
        <v>0</v>
      </c>
      <c r="E11" s="11">
        <v>50</v>
      </c>
      <c r="F11" s="11">
        <v>60</v>
      </c>
      <c r="G11" s="11">
        <v>20</v>
      </c>
      <c r="H11" s="11">
        <v>50</v>
      </c>
      <c r="I11" s="11">
        <v>25</v>
      </c>
      <c r="J11" s="12">
        <f t="shared" si="2"/>
        <v>205</v>
      </c>
      <c r="K11" s="13">
        <v>1</v>
      </c>
    </row>
    <row r="12" spans="1:11" ht="18" customHeight="1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15.75" customHeight="1">
      <c r="A13" s="10" t="s">
        <v>19</v>
      </c>
      <c r="B13" s="13">
        <v>0</v>
      </c>
      <c r="C13" s="13">
        <v>0</v>
      </c>
      <c r="D13" s="13">
        <v>0</v>
      </c>
      <c r="E13" s="11">
        <v>60</v>
      </c>
      <c r="F13" s="11">
        <v>80</v>
      </c>
      <c r="G13" s="11">
        <v>20</v>
      </c>
      <c r="H13" s="11">
        <v>70</v>
      </c>
      <c r="I13" s="11">
        <v>30</v>
      </c>
      <c r="J13" s="12">
        <f t="shared" ref="J13:J16" si="3">SUM(B13:I13)</f>
        <v>260</v>
      </c>
      <c r="K13" s="13">
        <v>2</v>
      </c>
    </row>
    <row r="14" spans="1:11" ht="15.75" customHeight="1">
      <c r="A14" s="10" t="s">
        <v>20</v>
      </c>
      <c r="B14" s="13">
        <v>0</v>
      </c>
      <c r="C14" s="13">
        <v>0</v>
      </c>
      <c r="D14" s="13">
        <v>0</v>
      </c>
      <c r="E14" s="11">
        <v>80</v>
      </c>
      <c r="F14" s="11">
        <v>110</v>
      </c>
      <c r="G14" s="11">
        <v>25</v>
      </c>
      <c r="H14" s="11">
        <v>80</v>
      </c>
      <c r="I14" s="11">
        <v>30</v>
      </c>
      <c r="J14" s="12">
        <f t="shared" si="3"/>
        <v>325</v>
      </c>
      <c r="K14" s="13">
        <v>2.5</v>
      </c>
    </row>
    <row r="15" spans="1:11" ht="15.75" customHeight="1">
      <c r="A15" s="10" t="s">
        <v>21</v>
      </c>
      <c r="B15" s="13">
        <v>0</v>
      </c>
      <c r="C15" s="13">
        <v>0</v>
      </c>
      <c r="D15" s="13">
        <v>0</v>
      </c>
      <c r="E15" s="11">
        <v>75</v>
      </c>
      <c r="F15" s="11">
        <v>95</v>
      </c>
      <c r="G15" s="11">
        <v>25</v>
      </c>
      <c r="H15" s="11">
        <v>70</v>
      </c>
      <c r="I15" s="11">
        <v>30</v>
      </c>
      <c r="J15" s="12">
        <f t="shared" si="3"/>
        <v>295</v>
      </c>
      <c r="K15" s="13">
        <v>2</v>
      </c>
    </row>
    <row r="16" spans="1:11" ht="15.75" customHeight="1">
      <c r="A16" s="10" t="s">
        <v>22</v>
      </c>
      <c r="B16" s="13">
        <v>0</v>
      </c>
      <c r="C16" s="13">
        <v>0</v>
      </c>
      <c r="D16" s="13">
        <v>0</v>
      </c>
      <c r="E16" s="11">
        <v>70</v>
      </c>
      <c r="F16" s="11">
        <v>90</v>
      </c>
      <c r="G16" s="11">
        <v>25</v>
      </c>
      <c r="H16" s="11">
        <v>80</v>
      </c>
      <c r="I16" s="11">
        <v>30</v>
      </c>
      <c r="J16" s="12">
        <f t="shared" si="3"/>
        <v>295</v>
      </c>
      <c r="K16" s="13">
        <v>2</v>
      </c>
    </row>
    <row r="17" spans="1:11" ht="18" customHeight="1">
      <c r="A17" s="2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.75" customHeight="1">
      <c r="A18" s="10" t="s">
        <v>24</v>
      </c>
      <c r="B18" s="13">
        <v>0</v>
      </c>
      <c r="C18" s="13">
        <v>0</v>
      </c>
      <c r="D18" s="13">
        <v>0</v>
      </c>
      <c r="E18" s="11">
        <v>110</v>
      </c>
      <c r="F18" s="11">
        <v>140</v>
      </c>
      <c r="G18" s="11">
        <v>45</v>
      </c>
      <c r="H18" s="11">
        <v>160</v>
      </c>
      <c r="I18" s="11">
        <v>40</v>
      </c>
      <c r="J18" s="12">
        <f t="shared" ref="J18:J19" si="4">SUM(B18:I18)</f>
        <v>495</v>
      </c>
      <c r="K18" s="13">
        <v>3.5</v>
      </c>
    </row>
    <row r="19" spans="1:11" ht="15.75" customHeight="1">
      <c r="A19" s="10" t="s">
        <v>25</v>
      </c>
      <c r="B19" s="13">
        <v>0</v>
      </c>
      <c r="C19" s="13">
        <v>0</v>
      </c>
      <c r="D19" s="13">
        <v>0</v>
      </c>
      <c r="E19" s="11">
        <v>80</v>
      </c>
      <c r="F19" s="11">
        <v>100</v>
      </c>
      <c r="G19" s="11">
        <v>30</v>
      </c>
      <c r="H19" s="11">
        <v>100</v>
      </c>
      <c r="I19" s="11">
        <v>30</v>
      </c>
      <c r="J19" s="12">
        <f t="shared" si="4"/>
        <v>340</v>
      </c>
      <c r="K19" s="13">
        <v>2</v>
      </c>
    </row>
    <row r="20" spans="1:11" ht="18" customHeight="1">
      <c r="A20" s="2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>
      <c r="A21" s="10" t="s">
        <v>27</v>
      </c>
      <c r="B21" s="13">
        <v>0</v>
      </c>
      <c r="C21" s="13">
        <v>0</v>
      </c>
      <c r="D21" s="13">
        <v>0</v>
      </c>
      <c r="E21" s="11">
        <v>100</v>
      </c>
      <c r="F21" s="11">
        <v>120</v>
      </c>
      <c r="G21" s="11">
        <v>35</v>
      </c>
      <c r="H21" s="11">
        <v>120</v>
      </c>
      <c r="I21" s="11">
        <v>35</v>
      </c>
      <c r="J21" s="12">
        <f t="shared" ref="J21:J24" si="5">SUM(B21:I21)</f>
        <v>410</v>
      </c>
      <c r="K21" s="13">
        <v>3</v>
      </c>
    </row>
    <row r="22" spans="1:11" ht="15.75" customHeight="1">
      <c r="A22" s="10" t="s">
        <v>28</v>
      </c>
      <c r="B22" s="13">
        <v>0</v>
      </c>
      <c r="C22" s="13">
        <v>0</v>
      </c>
      <c r="D22" s="13">
        <v>0</v>
      </c>
      <c r="E22" s="11">
        <v>80</v>
      </c>
      <c r="F22" s="11">
        <v>100</v>
      </c>
      <c r="G22" s="11">
        <v>30</v>
      </c>
      <c r="H22" s="11">
        <v>100</v>
      </c>
      <c r="I22" s="11">
        <v>30</v>
      </c>
      <c r="J22" s="12">
        <f t="shared" si="5"/>
        <v>340</v>
      </c>
      <c r="K22" s="13">
        <v>2</v>
      </c>
    </row>
    <row r="23" spans="1:11" ht="15.75" customHeight="1">
      <c r="A23" s="10" t="s">
        <v>29</v>
      </c>
      <c r="B23" s="13">
        <v>0</v>
      </c>
      <c r="C23" s="13">
        <v>0</v>
      </c>
      <c r="D23" s="13">
        <v>0</v>
      </c>
      <c r="E23" s="11">
        <v>90</v>
      </c>
      <c r="F23" s="11">
        <v>120</v>
      </c>
      <c r="G23" s="11">
        <v>35</v>
      </c>
      <c r="H23" s="11">
        <v>120</v>
      </c>
      <c r="I23" s="11">
        <v>35</v>
      </c>
      <c r="J23" s="12">
        <f t="shared" si="5"/>
        <v>400</v>
      </c>
      <c r="K23" s="13">
        <v>2.5</v>
      </c>
    </row>
    <row r="24" spans="1:11" ht="15.75" customHeight="1">
      <c r="A24" s="10" t="s">
        <v>30</v>
      </c>
      <c r="B24" s="13">
        <v>0</v>
      </c>
      <c r="C24" s="13">
        <v>0</v>
      </c>
      <c r="D24" s="13">
        <v>0</v>
      </c>
      <c r="E24" s="11">
        <v>70</v>
      </c>
      <c r="F24" s="11">
        <v>90</v>
      </c>
      <c r="G24" s="11">
        <v>25</v>
      </c>
      <c r="H24" s="11">
        <v>90</v>
      </c>
      <c r="I24" s="11">
        <v>30</v>
      </c>
      <c r="J24" s="12">
        <f t="shared" si="5"/>
        <v>305</v>
      </c>
      <c r="K24" s="13">
        <v>2</v>
      </c>
    </row>
    <row r="25" spans="1:11" ht="18" customHeight="1">
      <c r="A25" s="2" t="s">
        <v>31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>
      <c r="A26" s="10" t="s">
        <v>32</v>
      </c>
      <c r="B26" s="13">
        <v>0</v>
      </c>
      <c r="C26" s="13">
        <v>0</v>
      </c>
      <c r="D26" s="13">
        <v>0</v>
      </c>
      <c r="E26" s="11">
        <v>80</v>
      </c>
      <c r="F26" s="11">
        <v>100</v>
      </c>
      <c r="G26" s="11">
        <v>30</v>
      </c>
      <c r="H26" s="11">
        <v>110</v>
      </c>
      <c r="I26" s="11">
        <v>30</v>
      </c>
      <c r="J26" s="12">
        <f t="shared" ref="J26:J29" si="6">SUM(B26:I26)</f>
        <v>350</v>
      </c>
      <c r="K26" s="13">
        <v>2</v>
      </c>
    </row>
    <row r="27" spans="1:11" ht="15.75" customHeight="1">
      <c r="A27" s="10" t="s">
        <v>33</v>
      </c>
      <c r="B27" s="13">
        <v>0</v>
      </c>
      <c r="C27" s="13">
        <v>0</v>
      </c>
      <c r="D27" s="13">
        <v>0</v>
      </c>
      <c r="E27" s="11">
        <v>110</v>
      </c>
      <c r="F27" s="11">
        <v>140</v>
      </c>
      <c r="G27" s="11">
        <v>35</v>
      </c>
      <c r="H27" s="11">
        <v>150</v>
      </c>
      <c r="I27" s="11">
        <v>35</v>
      </c>
      <c r="J27" s="12">
        <f t="shared" si="6"/>
        <v>470</v>
      </c>
      <c r="K27" s="13">
        <v>3</v>
      </c>
    </row>
    <row r="28" spans="1:11" ht="15.75" customHeight="1">
      <c r="A28" s="10" t="s">
        <v>34</v>
      </c>
      <c r="B28" s="13">
        <v>0</v>
      </c>
      <c r="C28" s="13">
        <v>0</v>
      </c>
      <c r="D28" s="13">
        <v>0</v>
      </c>
      <c r="E28" s="11">
        <v>70</v>
      </c>
      <c r="F28" s="11">
        <v>90</v>
      </c>
      <c r="G28" s="11">
        <v>25</v>
      </c>
      <c r="H28" s="11">
        <v>90</v>
      </c>
      <c r="I28" s="11">
        <v>30</v>
      </c>
      <c r="J28" s="12">
        <f t="shared" si="6"/>
        <v>305</v>
      </c>
      <c r="K28" s="13">
        <v>1.5</v>
      </c>
    </row>
    <row r="29" spans="1:11" ht="15.75" customHeight="1">
      <c r="A29" s="10" t="s">
        <v>35</v>
      </c>
      <c r="B29" s="13">
        <v>0</v>
      </c>
      <c r="C29" s="13">
        <v>0</v>
      </c>
      <c r="D29" s="13">
        <v>0</v>
      </c>
      <c r="E29" s="11">
        <v>80</v>
      </c>
      <c r="F29" s="11">
        <v>100</v>
      </c>
      <c r="G29" s="11">
        <v>30</v>
      </c>
      <c r="H29" s="11">
        <v>100</v>
      </c>
      <c r="I29" s="11">
        <v>30</v>
      </c>
      <c r="J29" s="12">
        <f t="shared" si="6"/>
        <v>340</v>
      </c>
      <c r="K29" s="13">
        <v>1.5</v>
      </c>
    </row>
    <row r="30" spans="1:11" ht="18" customHeight="1">
      <c r="A30" s="2" t="s">
        <v>36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>
      <c r="A31" s="10" t="s">
        <v>37</v>
      </c>
      <c r="B31" s="13">
        <v>0</v>
      </c>
      <c r="C31" s="13">
        <v>0</v>
      </c>
      <c r="D31" s="13">
        <v>0</v>
      </c>
      <c r="E31" s="11">
        <v>140</v>
      </c>
      <c r="F31" s="11">
        <v>170</v>
      </c>
      <c r="G31" s="11">
        <v>55</v>
      </c>
      <c r="H31" s="11">
        <v>170</v>
      </c>
      <c r="I31" s="11">
        <v>55</v>
      </c>
      <c r="J31" s="12">
        <f t="shared" ref="J31" si="7">SUM(B31:I31)</f>
        <v>590</v>
      </c>
      <c r="K31" s="13">
        <v>5</v>
      </c>
    </row>
    <row r="32" spans="1:11" ht="18" customHeight="1">
      <c r="A32" s="2" t="s">
        <v>38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>
      <c r="A33" s="10" t="s">
        <v>39</v>
      </c>
      <c r="B33" s="13">
        <v>0</v>
      </c>
      <c r="C33" s="13">
        <v>0</v>
      </c>
      <c r="D33" s="13">
        <v>0</v>
      </c>
      <c r="E33" s="11">
        <v>90</v>
      </c>
      <c r="F33" s="11">
        <v>110</v>
      </c>
      <c r="G33" s="11">
        <v>30</v>
      </c>
      <c r="H33" s="11">
        <v>100</v>
      </c>
      <c r="I33" s="11">
        <v>30</v>
      </c>
      <c r="J33" s="12">
        <f t="shared" ref="J33:J35" si="8">SUM(B33:I33)</f>
        <v>360</v>
      </c>
      <c r="K33" s="13">
        <v>2</v>
      </c>
    </row>
    <row r="34" spans="1:11" ht="15.75" customHeight="1">
      <c r="A34" s="10" t="s">
        <v>40</v>
      </c>
      <c r="B34" s="13">
        <v>0</v>
      </c>
      <c r="C34" s="13">
        <v>0</v>
      </c>
      <c r="D34" s="13">
        <v>0</v>
      </c>
      <c r="E34" s="11">
        <v>80</v>
      </c>
      <c r="F34" s="11">
        <v>100</v>
      </c>
      <c r="G34" s="11">
        <v>25</v>
      </c>
      <c r="H34" s="11">
        <v>90</v>
      </c>
      <c r="I34" s="11">
        <v>30</v>
      </c>
      <c r="J34" s="12">
        <f t="shared" si="8"/>
        <v>325</v>
      </c>
      <c r="K34" s="13">
        <v>1.5</v>
      </c>
    </row>
    <row r="35" spans="1:11" ht="15.75" customHeight="1">
      <c r="A35" s="10" t="s">
        <v>41</v>
      </c>
      <c r="B35" s="13">
        <v>0</v>
      </c>
      <c r="C35" s="13">
        <v>0</v>
      </c>
      <c r="D35" s="13">
        <v>0</v>
      </c>
      <c r="E35" s="11">
        <v>80</v>
      </c>
      <c r="F35" s="11">
        <v>100</v>
      </c>
      <c r="G35" s="11">
        <v>25</v>
      </c>
      <c r="H35" s="11">
        <v>90</v>
      </c>
      <c r="I35" s="11">
        <v>30</v>
      </c>
      <c r="J35" s="12">
        <f t="shared" si="8"/>
        <v>325</v>
      </c>
      <c r="K35" s="13">
        <v>1.5</v>
      </c>
    </row>
    <row r="36" spans="1:11" ht="18" customHeight="1">
      <c r="A36" s="2" t="s">
        <v>42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>
      <c r="A37" s="10" t="s">
        <v>43</v>
      </c>
      <c r="B37" s="13">
        <v>0</v>
      </c>
      <c r="C37" s="13">
        <v>0</v>
      </c>
      <c r="D37" s="13">
        <v>0</v>
      </c>
      <c r="E37" s="11">
        <v>60</v>
      </c>
      <c r="F37" s="11">
        <v>80</v>
      </c>
      <c r="G37" s="11">
        <v>20</v>
      </c>
      <c r="H37" s="11">
        <v>70</v>
      </c>
      <c r="I37" s="11">
        <v>25</v>
      </c>
      <c r="J37" s="12">
        <f t="shared" ref="J37:J39" si="9">SUM(B37:I37)</f>
        <v>255</v>
      </c>
      <c r="K37" s="13">
        <v>1.5</v>
      </c>
    </row>
    <row r="38" spans="1:11" ht="15.75" customHeight="1">
      <c r="A38" s="10" t="s">
        <v>44</v>
      </c>
      <c r="B38" s="13">
        <v>0</v>
      </c>
      <c r="C38" s="13">
        <v>0</v>
      </c>
      <c r="D38" s="13">
        <v>0</v>
      </c>
      <c r="E38" s="11">
        <v>60</v>
      </c>
      <c r="F38" s="11">
        <v>70</v>
      </c>
      <c r="G38" s="11">
        <v>20</v>
      </c>
      <c r="H38" s="11">
        <v>60</v>
      </c>
      <c r="I38" s="11">
        <v>20</v>
      </c>
      <c r="J38" s="12">
        <f t="shared" si="9"/>
        <v>230</v>
      </c>
      <c r="K38" s="13">
        <v>1</v>
      </c>
    </row>
    <row r="39" spans="1:11" ht="15.75" customHeight="1">
      <c r="A39" s="10" t="s">
        <v>45</v>
      </c>
      <c r="B39" s="13">
        <v>0</v>
      </c>
      <c r="C39" s="13">
        <v>0</v>
      </c>
      <c r="D39" s="13">
        <v>0</v>
      </c>
      <c r="E39" s="11">
        <v>60</v>
      </c>
      <c r="F39" s="11">
        <v>70</v>
      </c>
      <c r="G39" s="11">
        <v>20</v>
      </c>
      <c r="H39" s="11">
        <v>60</v>
      </c>
      <c r="I39" s="11">
        <v>20</v>
      </c>
      <c r="J39" s="12">
        <f t="shared" si="9"/>
        <v>230</v>
      </c>
      <c r="K39" s="13">
        <v>1</v>
      </c>
    </row>
    <row r="40" spans="1:11" ht="18" customHeight="1">
      <c r="A40" s="2" t="s">
        <v>46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>
      <c r="A41" s="10" t="s">
        <v>47</v>
      </c>
      <c r="B41" s="13">
        <v>0</v>
      </c>
      <c r="C41" s="13">
        <v>0</v>
      </c>
      <c r="D41" s="13">
        <v>0</v>
      </c>
      <c r="E41" s="11">
        <v>80</v>
      </c>
      <c r="F41" s="11">
        <v>100</v>
      </c>
      <c r="G41" s="11">
        <v>30</v>
      </c>
      <c r="H41" s="11">
        <v>90</v>
      </c>
      <c r="I41" s="11">
        <v>30</v>
      </c>
      <c r="J41" s="12">
        <f t="shared" ref="J41:J44" si="10">SUM(B41:I41)</f>
        <v>330</v>
      </c>
      <c r="K41" s="13">
        <v>2</v>
      </c>
    </row>
    <row r="42" spans="1:11" ht="15.75" customHeight="1">
      <c r="A42" s="10" t="s">
        <v>48</v>
      </c>
      <c r="B42" s="13">
        <v>0</v>
      </c>
      <c r="C42" s="13">
        <v>0</v>
      </c>
      <c r="D42" s="13">
        <v>0</v>
      </c>
      <c r="E42" s="11">
        <v>60</v>
      </c>
      <c r="F42" s="11">
        <v>80</v>
      </c>
      <c r="G42" s="11">
        <v>20</v>
      </c>
      <c r="H42" s="11">
        <v>70</v>
      </c>
      <c r="I42" s="11">
        <v>25</v>
      </c>
      <c r="J42" s="12">
        <f t="shared" si="10"/>
        <v>255</v>
      </c>
      <c r="K42" s="13">
        <v>1.5</v>
      </c>
    </row>
    <row r="43" spans="1:11" ht="15.75" customHeight="1">
      <c r="A43" s="10" t="s">
        <v>49</v>
      </c>
      <c r="B43" s="13">
        <v>0</v>
      </c>
      <c r="C43" s="13">
        <v>0</v>
      </c>
      <c r="D43" s="13">
        <v>0</v>
      </c>
      <c r="E43" s="11">
        <v>50</v>
      </c>
      <c r="F43" s="11">
        <v>70</v>
      </c>
      <c r="G43" s="11">
        <v>20</v>
      </c>
      <c r="H43" s="11">
        <v>60</v>
      </c>
      <c r="I43" s="11">
        <v>20</v>
      </c>
      <c r="J43" s="12">
        <f t="shared" si="10"/>
        <v>220</v>
      </c>
      <c r="K43" s="13">
        <v>1</v>
      </c>
    </row>
    <row r="44" spans="1:11" ht="15.75" customHeight="1">
      <c r="A44" s="10" t="s">
        <v>50</v>
      </c>
      <c r="B44" s="13">
        <v>0</v>
      </c>
      <c r="C44" s="13">
        <v>0</v>
      </c>
      <c r="D44" s="13">
        <v>0</v>
      </c>
      <c r="E44" s="11">
        <v>70</v>
      </c>
      <c r="F44" s="11">
        <v>90</v>
      </c>
      <c r="G44" s="11">
        <v>25</v>
      </c>
      <c r="H44" s="11">
        <v>80</v>
      </c>
      <c r="I44" s="11">
        <v>25</v>
      </c>
      <c r="J44" s="12">
        <f t="shared" si="10"/>
        <v>290</v>
      </c>
      <c r="K44" s="13">
        <v>1.5</v>
      </c>
    </row>
    <row r="45" spans="1:11" ht="18" customHeight="1">
      <c r="A45" s="2" t="s">
        <v>51</v>
      </c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>
      <c r="A46" s="10" t="s">
        <v>52</v>
      </c>
      <c r="B46" s="13">
        <v>0</v>
      </c>
      <c r="C46" s="13">
        <v>0</v>
      </c>
      <c r="D46" s="13">
        <v>0</v>
      </c>
      <c r="E46" s="11">
        <v>0</v>
      </c>
      <c r="F46" s="11">
        <v>0</v>
      </c>
      <c r="G46" s="11">
        <v>80</v>
      </c>
      <c r="H46" s="11">
        <v>160</v>
      </c>
      <c r="I46" s="11">
        <v>40</v>
      </c>
      <c r="J46" s="12">
        <f t="shared" ref="J46:J51" si="11">SUM(B46:I46)</f>
        <v>280</v>
      </c>
      <c r="K46" s="13">
        <v>3</v>
      </c>
    </row>
    <row r="47" spans="1:11" ht="15.75" customHeight="1">
      <c r="A47" s="10" t="s">
        <v>53</v>
      </c>
      <c r="B47" s="13">
        <v>0</v>
      </c>
      <c r="C47" s="13">
        <v>0</v>
      </c>
      <c r="D47" s="13">
        <v>0</v>
      </c>
      <c r="E47" s="11">
        <v>50</v>
      </c>
      <c r="F47" s="11">
        <v>60</v>
      </c>
      <c r="G47" s="11">
        <v>0</v>
      </c>
      <c r="H47" s="11">
        <v>0</v>
      </c>
      <c r="I47" s="11">
        <v>0</v>
      </c>
      <c r="J47" s="12">
        <f t="shared" si="11"/>
        <v>110</v>
      </c>
      <c r="K47" s="13">
        <v>1.5</v>
      </c>
    </row>
    <row r="48" spans="1:11" ht="15.75" customHeight="1">
      <c r="A48" s="10" t="s">
        <v>54</v>
      </c>
      <c r="B48" s="13">
        <v>0</v>
      </c>
      <c r="C48" s="13">
        <v>0</v>
      </c>
      <c r="D48" s="13">
        <v>0</v>
      </c>
      <c r="E48" s="11">
        <v>40</v>
      </c>
      <c r="F48" s="11">
        <v>60</v>
      </c>
      <c r="G48" s="11">
        <v>20</v>
      </c>
      <c r="H48" s="11">
        <v>40</v>
      </c>
      <c r="I48" s="11">
        <v>20</v>
      </c>
      <c r="J48" s="12">
        <f t="shared" si="11"/>
        <v>180</v>
      </c>
      <c r="K48" s="13">
        <v>1</v>
      </c>
    </row>
    <row r="49" spans="1:11" ht="7.5" customHeight="1">
      <c r="J49">
        <f t="shared" si="11"/>
        <v>0</v>
      </c>
    </row>
    <row r="50" spans="1:11" ht="21.75" customHeight="1">
      <c r="A50" s="14" t="s">
        <v>55</v>
      </c>
      <c r="B50" s="15">
        <f t="shared" ref="B50" si="12">B6+B7+B8+B9+B10+B11+B13+B14+B15+B16+B18+B19+B21+B22+B23+B24+B26+B27+B28+B29+B31+B33+B34+B35+B37+B38+B39+B41+B42+B43+B44+B46+B47+B48</f>
        <v>170</v>
      </c>
      <c r="C50" s="15">
        <f t="shared" ref="C50:I50" si="13">C6+C7+C8+C9+C10+C11+C13+C14+C15+C16+C18+C19+C21+C22+C23+C24+C26+C27+C28+C29+C31+C33+C34+C35+C37+C38+C39+C41+C42+C43+C44+C46+C47+C48</f>
        <v>45.73</v>
      </c>
      <c r="D50" s="15">
        <f t="shared" si="13"/>
        <v>98.77</v>
      </c>
      <c r="E50" s="15">
        <f t="shared" si="13"/>
        <v>2420.0500000000002</v>
      </c>
      <c r="F50" s="15">
        <f t="shared" si="13"/>
        <v>3099.21</v>
      </c>
      <c r="G50" s="15">
        <f t="shared" si="13"/>
        <v>948.05</v>
      </c>
      <c r="H50" s="15">
        <f t="shared" si="13"/>
        <v>3031.3199999999997</v>
      </c>
      <c r="I50" s="15">
        <f t="shared" si="13"/>
        <v>999.16</v>
      </c>
      <c r="J50" s="16">
        <f t="shared" si="11"/>
        <v>10812.29</v>
      </c>
      <c r="K50" s="5">
        <f>K6+ K7+ K8+ K9+ K10+ K11+ K13+ K14+ K15+ K16+ K18+ K19+ K21+ K22+ K23+ K24+ K26+ K27+ K28+ K29+ K31+ K33+ K34+ K35+ K37+ K38+ K39+ K41+ K42+ K43+ K44+ K46+ K47+ K48</f>
        <v>67</v>
      </c>
    </row>
    <row r="52" spans="1:11" ht="15" customHeight="1">
      <c r="A52" s="3" t="s">
        <v>56</v>
      </c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" customHeight="1">
      <c r="A53" s="3" t="s">
        <v>57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" customHeight="1">
      <c r="A54" s="1" t="s">
        <v>58</v>
      </c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mergeCells count="15">
    <mergeCell ref="A40:K40"/>
    <mergeCell ref="A45:K45"/>
    <mergeCell ref="A52:K52"/>
    <mergeCell ref="A53:K53"/>
    <mergeCell ref="A54:K54"/>
    <mergeCell ref="A20:K20"/>
    <mergeCell ref="A25:K25"/>
    <mergeCell ref="A30:K30"/>
    <mergeCell ref="A32:K32"/>
    <mergeCell ref="A36:K36"/>
    <mergeCell ref="A1:K1"/>
    <mergeCell ref="A2:K2"/>
    <mergeCell ref="A5:K5"/>
    <mergeCell ref="A12:K12"/>
    <mergeCell ref="A17:K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C&amp;S Build Estimates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Coleman</cp:lastModifiedBy>
  <cp:revision>0</cp:revision>
  <dcterms:created xsi:type="dcterms:W3CDTF">2026-03-07T10:18:46Z</dcterms:created>
  <dcterms:modified xsi:type="dcterms:W3CDTF">2026-03-07T14:42:15Z</dcterms:modified>
  <dc:language>en-US</dc:language>
</cp:coreProperties>
</file>