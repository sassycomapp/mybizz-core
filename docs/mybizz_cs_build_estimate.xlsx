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0" yWindow="0" windowWidth="16380" windowHeight="8190" tabRatio="500" activeTab="5"/>
  </bookViews>
  <sheets>
    <sheet name="C&amp;S Build Estimates" sheetId="1" r:id="rId1"/>
    <sheet name=".continue" sheetId="2" r:id="rId2"/>
    <sheet name="Sheet2" sheetId="3" r:id="rId3"/>
    <sheet name="Sheet3" sheetId="4" r:id="rId4"/>
    <sheet name="Sheet4" sheetId="5" r:id="rId5"/>
    <sheet name="Sheet5" sheetId="6" r:id="rId6"/>
  </sheets>
  <calcPr calcId="124519" calcMode="manual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49" i="1"/>
  <c r="J48"/>
  <c r="J47"/>
  <c r="J46"/>
  <c r="J44"/>
  <c r="J43"/>
  <c r="J42"/>
  <c r="J41"/>
  <c r="J39"/>
  <c r="J38"/>
  <c r="J37"/>
  <c r="J35"/>
  <c r="J34"/>
  <c r="J33"/>
  <c r="J31"/>
  <c r="J29"/>
  <c r="J28"/>
  <c r="J27"/>
  <c r="J26"/>
  <c r="J24"/>
  <c r="J23"/>
  <c r="J22"/>
  <c r="J21"/>
  <c r="J19"/>
  <c r="J18"/>
  <c r="J16"/>
  <c r="J15"/>
  <c r="J14"/>
  <c r="J13"/>
  <c r="J11"/>
  <c r="J10"/>
  <c r="J9"/>
  <c r="J7"/>
  <c r="J6"/>
  <c r="J4"/>
  <c r="J3"/>
  <c r="J8"/>
  <c r="B50"/>
  <c r="K50"/>
  <c r="I50"/>
  <c r="H50"/>
  <c r="G50"/>
  <c r="F50"/>
  <c r="E50"/>
  <c r="D50"/>
  <c r="C50"/>
  <c r="J50" l="1"/>
</calcChain>
</file>

<file path=xl/sharedStrings.xml><?xml version="1.0" encoding="utf-8"?>
<sst xmlns="http://schemas.openxmlformats.org/spreadsheetml/2006/main" count="342" uniqueCount="307">
  <si>
    <t>MyBizz Consulting &amp; Services — Build Cost Estimate</t>
  </si>
  <si>
    <t>Estimates in ZAR. Actual costs recorded where available. All estimates based on Stage 1.2 actuals and scope analysis.</t>
  </si>
  <si>
    <t>Stage</t>
  </si>
  <si>
    <t>UI Scope</t>
  </si>
  <si>
    <t>UI Design</t>
  </si>
  <si>
    <t>Code Draft</t>
  </si>
  <si>
    <t>Code Polish</t>
  </si>
  <si>
    <t>Local Testing</t>
  </si>
  <si>
    <t>Uplink Testing</t>
  </si>
  <si>
    <t>Checks</t>
  </si>
  <si>
    <t>Days</t>
  </si>
  <si>
    <t>PHASE 1 — Authentication &amp; Administration</t>
  </si>
  <si>
    <t>1.1  Project Infrastructure</t>
  </si>
  <si>
    <t>1.2  Authentication System</t>
  </si>
  <si>
    <t>1.3  Dashboard &amp; Navigation</t>
  </si>
  <si>
    <t>1.4  Settings &amp; Configuration</t>
  </si>
  <si>
    <t>1.5  The Vault</t>
  </si>
  <si>
    <t>1.6  AdminLayout — Full Navigation</t>
  </si>
  <si>
    <t>PHASE 2 — Website &amp; Content</t>
  </si>
  <si>
    <t>2.1  Public Website — Standard Pages</t>
  </si>
  <si>
    <t>2.2  Home Page Templates</t>
  </si>
  <si>
    <t>2.3  Landing Pages System</t>
  </si>
  <si>
    <t>2.4  Blog System</t>
  </si>
  <si>
    <t>PHASE 3 — Payments &amp; Invoicing</t>
  </si>
  <si>
    <t>3.1  Payment Gateway (Stripe / Paystack)</t>
  </si>
  <si>
    <t>3.2  Invoicing System</t>
  </si>
  <si>
    <t>PHASE 4 — Bookings &amp; Appointments</t>
  </si>
  <si>
    <t>4.1  Calendar System</t>
  </si>
  <si>
    <t>4.2  Availability Management</t>
  </si>
  <si>
    <t>4.3  Booking Creation Flow</t>
  </si>
  <si>
    <t>4.4  Service Catalogue Management</t>
  </si>
  <si>
    <t>PHASE 5 — CRM &amp; Marketing</t>
  </si>
  <si>
    <t>5.1  Contact Management</t>
  </si>
  <si>
    <t>5.2  Email Marketing (Zoho Campaigns)</t>
  </si>
  <si>
    <t>5.3  Segmentation</t>
  </si>
  <si>
    <t>5.4  Task Automation</t>
  </si>
  <si>
    <t>PHASE 6 — Security &amp; Compliance</t>
  </si>
  <si>
    <t>6.1–6.8  Security, Compliance &amp; Hardening</t>
  </si>
  <si>
    <t>PHASE 7 — Analytics &amp; Reporting</t>
  </si>
  <si>
    <t>7.1  Dashboard Analytics</t>
  </si>
  <si>
    <t>7.2  Revenue Reporting</t>
  </si>
  <si>
    <t>7.3  Customer Analytics</t>
  </si>
  <si>
    <t>PHASE 8 — Vertical Polish</t>
  </si>
  <si>
    <t>8.1  Services Vertical Optimisation</t>
  </si>
  <si>
    <t>8.2  Time Tracking &amp; Billing Polish</t>
  </si>
  <si>
    <t>8.3  Client Portal Polish</t>
  </si>
  <si>
    <t>PHASE 9 — Platform Management</t>
  </si>
  <si>
    <t>9.1  Client Provisioning</t>
  </si>
  <si>
    <t>9.2  Client Monitoring</t>
  </si>
  <si>
    <t>9.3  Update Distribution</t>
  </si>
  <si>
    <t>9.4  Billing Automation</t>
  </si>
  <si>
    <t>PHASE 10 — Launch Preparation</t>
  </si>
  <si>
    <t>10.1  Comprehensive Testing</t>
  </si>
  <si>
    <t>10.2  Documentation</t>
  </si>
  <si>
    <t>10.3  Production Launch</t>
  </si>
  <si>
    <t>TOTAL PROJECT ESTIMATE</t>
  </si>
  <si>
    <t>🟦 Blue values = Actuals recorded   |   White/grey = Estimates   |   Green = Completed stages</t>
  </si>
  <si>
    <t>Note: C&amp;S app is significantly simpler than the 4-vertical platform. Estimates reflect reduced scope — no e-commerce, no shipping, no hospitality, no memberships.</t>
  </si>
  <si>
    <t>Actual spend to date (Stages 1.1–1.3): R107.78</t>
  </si>
  <si>
    <t>Pre-dev</t>
  </si>
  <si>
    <t>.continue</t>
  </si>
  <si>
    <t>.migrations</t>
  </si>
  <si>
    <t>C:\Users\dev-p\.continue\.migrations\add_signature_column</t>
  </si>
  <si>
    <t>C:\Users\dev-p\.continue\.migrations\delete_duplicate_code_snippets</t>
  </si>
  <si>
    <t>.utils</t>
  </si>
  <si>
    <t>checks</t>
  </si>
  <si>
    <t>C:\Users\dev-p\.continue\checks\code-quality.md</t>
  </si>
  <si>
    <t>C:\Users\dev-p\.continue\checks\compliance.md</t>
  </si>
  <si>
    <t>C:\Users\dev-p\.continue\checks\data-binding.md</t>
  </si>
  <si>
    <t>C:\Users\dev-p\.continue\checks\data-integrity.md</t>
  </si>
  <si>
    <t>C:\Users\dev-p\.continue\checks\error-handling.md</t>
  </si>
  <si>
    <t>C:\Users\dev-p\.continue\checks\m3-compliance.md</t>
  </si>
  <si>
    <t>C:\Users\dev-p\.continue\checks\naming-conventions.md</t>
  </si>
  <si>
    <t>C:\Users\dev-p\.continue\checks\navigation.md</t>
  </si>
  <si>
    <t>C:\Users\dev-p\.continue\checks\response-envelope.md</t>
  </si>
  <si>
    <t>C:\Users\dev-p\.continue\checks\security.md</t>
  </si>
  <si>
    <t>C:\Users\dev-p\.continue\checks\test-coverage.md</t>
  </si>
  <si>
    <t>dev_data</t>
  </si>
  <si>
    <t>0.2.0</t>
  </si>
  <si>
    <t>C:\Users\dev-p\.continue\dev_data\0.2.0\autocomplete.jsonl</t>
  </si>
  <si>
    <t>C:\Users\dev-p\.continue\dev_data\0.2.0\chatInteraction.jsonl</t>
  </si>
  <si>
    <t>C:\Users\dev-p\.continue\dev_data\0.2.0\editOutcome.jsonl</t>
  </si>
  <si>
    <t>C:\Users\dev-p\.continue\dev_data\0.2.0\nextEditWithHistory.jsonl</t>
  </si>
  <si>
    <t>C:\Users\dev-p\.continue\dev_data\0.2.0\tokensGenerated.jsonl</t>
  </si>
  <si>
    <t>C:\Users\dev-p\.continue\dev_data\0.2.0\toolUsage.jsonl</t>
  </si>
  <si>
    <t>C:\Users\dev-p\.continue\dev_data\devdata.sqlite</t>
  </si>
  <si>
    <t>index</t>
  </si>
  <si>
    <t>C:\Users\dev-p\.continue\index\autocompleteCache.sqlite</t>
  </si>
  <si>
    <t>C:\Users\dev-p\.continue\index\globalContext.json</t>
  </si>
  <si>
    <t>C:\Users\dev-p\.continue\index\index.sqlite</t>
  </si>
  <si>
    <t>C:\Users\dev-p\.continue\index\index.sqlite-shm</t>
  </si>
  <si>
    <t>C:\Users\dev-p\.continue\index\index.sqlite-wal</t>
  </si>
  <si>
    <t>mcpServers</t>
  </si>
  <si>
    <t>C:\Users\dev-p\.continue\mcpServers\context7-mcp.yaml</t>
  </si>
  <si>
    <t>C:\Users\dev-p\.continue\mcpServers\playwright-mcp.yaml</t>
  </si>
  <si>
    <t>rules</t>
  </si>
  <si>
    <t>C:\Users\dev-p\.continue\rules\platform_docmap.md</t>
  </si>
  <si>
    <t>C:\Users\dev-p\.continue\rules\platform_features.md</t>
  </si>
  <si>
    <t>C:\Users\dev-p\.continue\rules\platform_overview.md</t>
  </si>
  <si>
    <t>C:\Users\dev-p\.continue\rules\platform_sitemap.md</t>
  </si>
  <si>
    <t>C:\Users\dev-p\.continue\rules\platform_status.md</t>
  </si>
  <si>
    <t>C:\Users\dev-p\.continue\rules\policy_development.md</t>
  </si>
  <si>
    <t>C:\Users\dev-p\.continue\rules\policy_nomenclature.md</t>
  </si>
  <si>
    <t>C:\Users\dev-p\.continue\rules\policy_nomenclature_components.md</t>
  </si>
  <si>
    <t>C:\Users\dev-p\.continue\rules\policy_security.md</t>
  </si>
  <si>
    <t>C:\Users\dev-p\.continue\rules\policy_security_compliance.md</t>
  </si>
  <si>
    <t>C:\Users\dev-p\.continue\rules\ref_anvil_coding.md</t>
  </si>
  <si>
    <t>C:\Users\dev-p\.continue\rules\ref_anvil_coding_patterns.md</t>
  </si>
  <si>
    <t>C:\Users\dev-p\.continue\rules\ref_anvil_components.md</t>
  </si>
  <si>
    <t>C:\Users\dev-p\.continue\rules\ref_anvil_data_tables.md</t>
  </si>
  <si>
    <t>C:\Users\dev-p\.continue\rules\ref_anvil_misc.md</t>
  </si>
  <si>
    <t>C:\Users\dev-p\.continue\rules\ref_anvil_navigation.md</t>
  </si>
  <si>
    <t>C:\Users\dev-p\.continue\rules\ref_anvil_packages.md</t>
  </si>
  <si>
    <t>C:\Users\dev-p\.continue\rules\ref_anvil_testing.md</t>
  </si>
  <si>
    <t>C:\Users\dev-p\.continue\rules\ref_anvil_testing_integration.md</t>
  </si>
  <si>
    <t>C:\Users\dev-p\.continue\rules\ref_anvil_uplink.md</t>
  </si>
  <si>
    <t>C:\Users\dev-p\.continue\rules\spec_architecture.md</t>
  </si>
  <si>
    <t>C:\Users\dev-p\.continue\rules\spec_build_plan.md</t>
  </si>
  <si>
    <t>C:\Users\dev-p\.continue\rules\spec_crm.md</t>
  </si>
  <si>
    <t>C:\Users\dev-p\.continue\rules\spec_crm_campaigns.md</t>
  </si>
  <si>
    <t>C:\Users\dev-p\.continue\rules\spec_crm_contacts.md</t>
  </si>
  <si>
    <t>C:\Users\dev-p\.continue\rules\spec_crm_segments_tasks.md</t>
  </si>
  <si>
    <t>C:\Users\dev-p\.continue\rules\spec_database.md</t>
  </si>
  <si>
    <t>C:\Users\dev-p\.continue\rules\spec_database_schema.md</t>
  </si>
  <si>
    <t>C:\Users\dev-p\.continue\rules\spec_integrations.md</t>
  </si>
  <si>
    <t>C:\Users\dev-p\.continue\rules\spec_performance.md</t>
  </si>
  <si>
    <t>C:\Users\dev-p\.continue\rules\spec_scaffold.md</t>
  </si>
  <si>
    <t>C:\Users\dev-p\.continue\rules\spec_ui_standards.md</t>
  </si>
  <si>
    <t>C:\Users\dev-p\.continue\rules\spec_ui_standards_forms.md</t>
  </si>
  <si>
    <t>C:\Users\dev-p\.continue\rules\spec_vault.md</t>
  </si>
  <si>
    <t>sessions</t>
  </si>
  <si>
    <t>C:\Users\dev-p\.continue\sessions\0853ac6b-37ca-40f2-ac76-77afc7d2cb95.json</t>
  </si>
  <si>
    <t>C:\Users\dev-p\.continue\sessions\118dfaa5-4aa5-4e40-9d61-6fec7a3245e8.json</t>
  </si>
  <si>
    <t>C:\Users\dev-p\.continue\sessions\2eb3a963-9df6-44f8-979f-ec45bd3a237c.json</t>
  </si>
  <si>
    <t>C:\Users\dev-p\.continue\sessions\38afed95-bf30-42a3-a076-a4f301541ccc.json</t>
  </si>
  <si>
    <t>C:\Users\dev-p\.continue\sessions\3f2a88f1-c741-4f54-9ed4-5a6a2a76ec9b.json</t>
  </si>
  <si>
    <t>C:\Users\dev-p\.continue\sessions\7b2db120-b363-4f8b-8adc-94237299f666.json</t>
  </si>
  <si>
    <t>C:\Users\dev-p\.continue\sessions\88d19844-3055-496d-b042-7ab03253c16b.json</t>
  </si>
  <si>
    <t>C:\Users\dev-p\.continue\sessions\a34a44ce-b64e-4180-8138-8193c21e8f58.json</t>
  </si>
  <si>
    <t>C:\Users\dev-p\.continue\sessions\baf9a7e8-b190-4ae6-8c16-9b7ea2d09a04.json</t>
  </si>
  <si>
    <t>C:\Users\dev-p\.continue\sessions\c724e137-8c07-4253-9413-777cfb1c2ff1.json</t>
  </si>
  <si>
    <t>C:\Users\dev-p\.continue\sessions\d29f1e8e-6c74-47f9-9ead-8dfd1c495c95.json</t>
  </si>
  <si>
    <t>C:\Users\dev-p\.continue\sessions\d998bc79-4952-4707-ac14-6e77d0998c48.json</t>
  </si>
  <si>
    <t>C:\Users\dev-p\.continue\sessions\ffa299b4-c592-4d73-8f60-ac5d555d9549.json</t>
  </si>
  <si>
    <t>C:\Users\dev-p\.continue\sessions\sessions.json</t>
  </si>
  <si>
    <t>types</t>
  </si>
  <si>
    <t>core</t>
  </si>
  <si>
    <t>C:\Users\dev-p\.continue\types\core\index.d.ts</t>
  </si>
  <si>
    <t>C:\Users\dev-p\.continue\.continueignore</t>
  </si>
  <si>
    <t>C:\Users\dev-p\.continue\.continuerc.json</t>
  </si>
  <si>
    <t>C:\Users\dev-p\.continue\config.ts</t>
  </si>
  <si>
    <t>C:\Users\dev-p\.continue\config.yaml</t>
  </si>
  <si>
    <t>C:\Users\dev-p\.continue\package.json</t>
  </si>
  <si>
    <t>C:\Users\dev-p\.continue\tsconfig.json</t>
  </si>
  <si>
    <t>auth</t>
  </si>
  <si>
    <t>__pycache__</t>
  </si>
  <si>
    <t>bookings</t>
  </si>
  <si>
    <t>AppointmentSchedulerForm</t>
  </si>
  <si>
    <t>TimeSlotRadioRowTemplate</t>
  </si>
  <si>
    <t>C:\_Data\_Mybizz\mybizz-core\client_code\bookings\AppointmentSchedulerForm\TimeSlotRadioRowTemplate\form_template.yaml</t>
  </si>
  <si>
    <t>C:\_Data\_Mybizz\mybizz-core\client_code\bookings\AppointmentSchedulerForm\TimeSlotRadioRowTemplate\__init__.py</t>
  </si>
  <si>
    <t>C:\_Data\_Mybizz\mybizz-core\client_code\bookings\AppointmentSchedulerForm\form_template.yaml</t>
  </si>
  <si>
    <t>C:\_Data\_Mybizz\mybizz-core\client_code\bookings\AppointmentSchedulerForm\__init__.py</t>
  </si>
  <si>
    <t>BookingAnalyticsWidget</t>
  </si>
  <si>
    <t>TopResourceRowTemplate</t>
  </si>
  <si>
    <t>C:\_Data\_Mybizz\mybizz-core\client_code\bookings\BookingAnalyticsWidget\TopResourceRowTemplate\form_template.yaml</t>
  </si>
  <si>
    <t>C:\_Data\_Mybizz\mybizz-core\client_code\bookings\BookingAnalyticsWidget\TopResourceRowTemplate\__init__.py</t>
  </si>
  <si>
    <t>C:\_Data\_Mybizz\mybizz-core\client_code\bookings\BookingAnalyticsWidget\form_template.yaml</t>
  </si>
  <si>
    <t>C:\_Data\_Mybizz\mybizz-core\client_code\bookings\BookingAnalyticsWidget\__init__.py</t>
  </si>
  <si>
    <t>BookingCalendarComponent</t>
  </si>
  <si>
    <t>C:\_Data\_Mybizz\mybizz-core\client_code\bookings\BookingCalendarComponent\form_template.yaml</t>
  </si>
  <si>
    <t>C:\_Data\_Mybizz\mybizz-core\client_code\bookings\BookingCalendarComponent\__init__.py</t>
  </si>
  <si>
    <t>BookingCreateForm</t>
  </si>
  <si>
    <t>C:\_Data\_Mybizz\mybizz-core\client_code\bookings\BookingCreateForm\form_template.yaml</t>
  </si>
  <si>
    <t>C:\_Data\_Mybizz\mybizz-core\client_code\bookings\BookingCreateForm\__init__.py</t>
  </si>
  <si>
    <t>BookingListForm</t>
  </si>
  <si>
    <t>BookingRowTemplate</t>
  </si>
  <si>
    <t>C:\_Data\_Mybizz\mybizz-core\client_code\bookings\BookingListForm\BookingRowTemplate\form_template.yaml</t>
  </si>
  <si>
    <t>C:\_Data\_Mybizz\mybizz-core\client_code\bookings\BookingListForm\BookingRowTemplate\__init__.py</t>
  </si>
  <si>
    <t>C:\_Data\_Mybizz\mybizz-core\client_code\bookings\BookingListForm\form_template.yaml</t>
  </si>
  <si>
    <t>C:\_Data\_Mybizz\mybizz-core\client_code\bookings\BookingListForm\__init__.py</t>
  </si>
  <si>
    <t>ClientNotesForm</t>
  </si>
  <si>
    <t>ClientNoteRowTemplate</t>
  </si>
  <si>
    <t>ItemTemplate1</t>
  </si>
  <si>
    <t>C:\_Data\_Mybizz\mybizz-core\client_code\bookings\ClientNotesForm\ClientNoteRowTemplate\ItemTemplate1\form_template.yaml</t>
  </si>
  <si>
    <t>C:\_Data\_Mybizz\mybizz-core\client_code\bookings\ClientNotesForm\ClientNoteRowTemplate\ItemTemplate1\__init__.py</t>
  </si>
  <si>
    <t>C:\_Data\_Mybizz\mybizz-core\client_code\bookings\ClientNotesForm\ClientNoteRowTemplate\form_template.yaml</t>
  </si>
  <si>
    <t>C:\_Data\_Mybizz\mybizz-core\client_code\bookings\ClientNotesForm\ClientNoteRowTemplate\__init__.py</t>
  </si>
  <si>
    <t>C:\_Data\_Mybizz\mybizz-core\client_code\bookings\ClientNotesForm\form_template.yaml</t>
  </si>
  <si>
    <t>C:\_Data\_Mybizz\mybizz-core\client_code\bookings\ClientNotesForm\__init__.py</t>
  </si>
  <si>
    <t>ManualTimeEntryModal</t>
  </si>
  <si>
    <t>C:\_Data\_Mybizz\mybizz-core\client_code\bookings\ManualTimeEntryModal\form_template.yaml</t>
  </si>
  <si>
    <t>C:\_Data\_Mybizz\mybizz-core\client_code\bookings\ManualTimeEntryModal\__init__.py</t>
  </si>
  <si>
    <t>MultiResourceCalenderForm</t>
  </si>
  <si>
    <t>C:\_Data\_Mybizz\mybizz-core\client_code\bookings\MultiResourceCalenderForm\form_template.yaml</t>
  </si>
  <si>
    <t>C:\_Data\_Mybizz\mybizz-core\client_code\bookings\MultiResourceCalenderForm\__init__.py</t>
  </si>
  <si>
    <t>PublicBookingWidget</t>
  </si>
  <si>
    <t>TimeSlotRowTemplate</t>
  </si>
  <si>
    <t>C:\_Data\_Mybizz\mybizz-core\client_code\bookings\PublicBookingWidget\TimeSlotRowTemplate\form_template.yaml</t>
  </si>
  <si>
    <t>C:\_Data\_Mybizz\mybizz-core\client_code\bookings\PublicBookingWidget\TimeSlotRowTemplate\__init__.py</t>
  </si>
  <si>
    <t>C:\_Data\_Mybizz\mybizz-core\client_code\bookings\PublicBookingWidget\form_template.yaml</t>
  </si>
  <si>
    <t>C:\_Data\_Mybizz\mybizz-core\client_code\bookings\PublicBookingWidget\__init__.py</t>
  </si>
  <si>
    <t>ServiceEditorModal</t>
  </si>
  <si>
    <t>C:\_Data\_Mybizz\mybizz-core\client_code\bookings\ServiceEditorModal\form_template.yaml</t>
  </si>
  <si>
    <t>C:\_Data\_Mybizz\mybizz-core\client_code\bookings\ServiceEditorModal\__init__.py</t>
  </si>
  <si>
    <t>ServiceManagementForm</t>
  </si>
  <si>
    <t>ServiceRowTemplate</t>
  </si>
  <si>
    <t>C:\_Data\_Mybizz\mybizz-core\client_code\bookings\ServiceManagementForm\ServiceRowTemplate\form_template.yaml</t>
  </si>
  <si>
    <t>C:\_Data\_Mybizz\mybizz-core\client_code\bookings\ServiceManagementForm\ServiceRowTemplate\__init__.py</t>
  </si>
  <si>
    <t>C:\_Data\_Mybizz\mybizz-core\client_code\bookings\ServiceManagementForm\form_template.yaml</t>
  </si>
  <si>
    <t>C:\_Data\_Mybizz\mybizz-core\client_code\bookings\ServiceManagementForm\__init__.py</t>
  </si>
  <si>
    <t>TimeTrackerForm</t>
  </si>
  <si>
    <t>TimeEntryRowTemplate</t>
  </si>
  <si>
    <t>C:\_Data\_Mybizz\mybizz-core\client_code\bookings\TimeTrackerForm\TimeEntryRowTemplate\form_template.yaml</t>
  </si>
  <si>
    <t>C:\_Data\_Mybizz\mybizz-core\client_code\bookings\TimeTrackerForm\TimeEntryRowTemplate\__init__.py</t>
  </si>
  <si>
    <t>C:\_Data\_Mybizz\mybizz-core\client_code\bookings\TimeTrackerForm\form_template.yaml</t>
  </si>
  <si>
    <t>C:\_Data\_Mybizz\mybizz-core\client_code\bookings\TimeTrackerForm\__init__.py</t>
  </si>
  <si>
    <t>C:\_Data\_Mybizz\mybizz-core\client_code\bookings\booking_ui_helpers.py</t>
  </si>
  <si>
    <t>C:\_Data\_Mybizz\mybizz-core\client_code\bookings\__init__.py</t>
  </si>
  <si>
    <t>SettingsForm</t>
  </si>
  <si>
    <t>server_code</t>
  </si>
  <si>
    <t>server_analytics</t>
  </si>
  <si>
    <t>C:\_Data\_Mybizz\mybizz-core\server_code\server_analytics\booking_service.py</t>
  </si>
  <si>
    <t>C:\_Data\_Mybizz\mybizz-core\server_code\server_analytics\customer_service.py</t>
  </si>
  <si>
    <t>C:\_Data\_Mybizz\mybizz-core\server_code\server_analytics\report_generator.py</t>
  </si>
  <si>
    <t>C:\_Data\_Mybizz\mybizz-core\server_code\server_analytics\revenue_service.py</t>
  </si>
  <si>
    <t>C:\_Data\_Mybizz\mybizz-core\server_code\server_analytics\__init__.py</t>
  </si>
  <si>
    <t>server_auth</t>
  </si>
  <si>
    <t>C:\_Data\_Mybizz\mybizz-core\server_code\server_auth\__pycache__\validation.cpython-312.pyc</t>
  </si>
  <si>
    <t>C:\_Data\_Mybizz\mybizz-core\server_code\server_auth\__pycache__\__init__.cpython-312.pyc</t>
  </si>
  <si>
    <t>C:\_Data\_Mybizz\mybizz-core\server_code\server_auth\permissions.py</t>
  </si>
  <si>
    <t>C:\_Data\_Mybizz\mybizz-core\server_code\server_auth\service.py</t>
  </si>
  <si>
    <t>C:\_Data\_Mybizz\mybizz-core\server_code\server_auth\session_manager.py</t>
  </si>
  <si>
    <t>C:\_Data\_Mybizz\mybizz-core\server_code\server_auth\validation.py</t>
  </si>
  <si>
    <t>C:\_Data\_Mybizz\mybizz-core\server_code\server_auth\__init__.py</t>
  </si>
  <si>
    <t>server_blog</t>
  </si>
  <si>
    <t>C:\_Data\_Mybizz\mybizz-core\server_code\server_blog\category_service.py</t>
  </si>
  <si>
    <t>C:\_Data\_Mybizz\mybizz-core\server_code\server_blog\seo_service.py</t>
  </si>
  <si>
    <t>C:\_Data\_Mybizz\mybizz-core\server_code\server_blog\service.py</t>
  </si>
  <si>
    <t>C:\_Data\_Mybizz\mybizz-core\server_code\server_blog\__init__.py</t>
  </si>
  <si>
    <t>server_bookings</t>
  </si>
  <si>
    <t>C:\_Data\_Mybizz\mybizz-core\server_code\server_bookings\appointment_reminders.py</t>
  </si>
  <si>
    <t>C:\_Data\_Mybizz\mybizz-core\server_code\server_bookings\availability_service.py</t>
  </si>
  <si>
    <t>C:\_Data\_Mybizz\mybizz-core\server_code\server_bookings\ical_generator.py</t>
  </si>
  <si>
    <t>C:\_Data\_Mybizz\mybizz-core\server_code\server_bookings\metadata_validator.py</t>
  </si>
  <si>
    <t>C:\_Data\_Mybizz\mybizz-core\server_code\server_bookings\recurring_service.py</t>
  </si>
  <si>
    <t>C:\_Data\_Mybizz\mybizz-core\server_code\server_bookings\repository.py</t>
  </si>
  <si>
    <t>C:\_Data\_Mybizz\mybizz-core\server_code\server_bookings\service.py</t>
  </si>
  <si>
    <t>C:\_Data\_Mybizz\mybizz-core\server_code\server_bookings\__init__.py</t>
  </si>
  <si>
    <t>server_crm_sync</t>
  </si>
  <si>
    <t>C:\_Data\_Mybizz\mybizz-core\server_code\server_crm_sync\zoho_crm_sync.py</t>
  </si>
  <si>
    <t>C:\_Data\_Mybizz\mybizz-core\server_code\server_crm_sync\__init__.py</t>
  </si>
  <si>
    <t>server_customers</t>
  </si>
  <si>
    <t>C:\_Data\_Mybizz\mybizz-core\server_code\server_customers\history_service.py</t>
  </si>
  <si>
    <t>C:\_Data\_Mybizz\mybizz-core\server_code\server_customers\repository.py</t>
  </si>
  <si>
    <t>C:\_Data\_Mybizz\mybizz-core\server_code\server_customers\service.py</t>
  </si>
  <si>
    <t>C:\_Data\_Mybizz\mybizz-core\server_code\server_customers\__init__.py</t>
  </si>
  <si>
    <t>server_dashboard</t>
  </si>
  <si>
    <t>C:\_Data\_Mybizz\mybizz-core\server_code\server_dashboard\service.py</t>
  </si>
  <si>
    <t>C:\_Data\_Mybizz\mybizz-core\server_code\server_dashboard\__init__.py</t>
  </si>
  <si>
    <t>server_emails</t>
  </si>
  <si>
    <t>C:\_Data\_Mybizz\mybizz-core\server_code\server_emails\email_templates.py</t>
  </si>
  <si>
    <t>C:\_Data\_Mybizz\mybizz-core\server_code\server_emails\system_email_service.py</t>
  </si>
  <si>
    <t>C:\_Data\_Mybizz\mybizz-core\server_code\server_emails\transactional_email_service.py</t>
  </si>
  <si>
    <t>C:\_Data\_Mybizz\mybizz-core\server_code\server_emails\__init__.py</t>
  </si>
  <si>
    <t>server_marketing</t>
  </si>
  <si>
    <t>C:\_Data\_Mybizz\mybizz-core\server_code\server_marketing\broadcast_service.py</t>
  </si>
  <si>
    <t>C:\_Data\_Mybizz\mybizz-core\server_code\server_marketing\campaign_service.py</t>
  </si>
  <si>
    <t>C:\_Data\_Mybizz\mybizz-core\server_code\server_marketing\lead_capture_service.py</t>
  </si>
  <si>
    <t>C:\_Data\_Mybizz\mybizz-core\server_code\server_marketing\referral_service.py</t>
  </si>
  <si>
    <t>C:\_Data\_Mybizz\mybizz-core\server_code\server_marketing\review_service.py</t>
  </si>
  <si>
    <t>C:\_Data\_Mybizz\mybizz-core\server_code\server_marketing\server_marketing__init__.py</t>
  </si>
  <si>
    <t>C:\_Data\_Mybizz\mybizz-core\server_code\server_marketing\task_service.py</t>
  </si>
  <si>
    <t>C:\_Data\_Mybizz\mybizz-core\server_code\server_marketing\zoho_campaigns_integration.py</t>
  </si>
  <si>
    <t>C:\_Data\_Mybizz\mybizz-core\server_code\server_marketing\__init__.py</t>
  </si>
  <si>
    <t>server_payments</t>
  </si>
  <si>
    <t>C:\_Data\_Mybizz\mybizz-core\server_code\server_payments\accounting_reports.py</t>
  </si>
  <si>
    <t>C:\_Data\_Mybizz\mybizz-core\server_code\server_payments\invoice_pdf_generator.py</t>
  </si>
  <si>
    <t>C:\_Data\_Mybizz\mybizz-core\server_code\server_payments\invoice_service.py</t>
  </si>
  <si>
    <t>C:\_Data\_Mybizz\mybizz-core\server_code\server_payments\paystack_service.py</t>
  </si>
  <si>
    <t>C:\_Data\_Mybizz\mybizz-core\server_code\server_payments\paystack_webhooks.py</t>
  </si>
  <si>
    <t>C:\_Data\_Mybizz\mybizz-core\server_code\server_payments\stripe_service.py</t>
  </si>
  <si>
    <t>C:\_Data\_Mybizz\mybizz-core\server_code\server_payments\stripe_webhooks.py</t>
  </si>
  <si>
    <t>C:\_Data\_Mybizz\mybizz-core\server_code\server_payments\__init__.py</t>
  </si>
  <si>
    <t>server_settings</t>
  </si>
  <si>
    <t>C:\_Data\_Mybizz\mybizz-core\server_code\server_settings\service.py</t>
  </si>
  <si>
    <t>C:\_Data\_Mybizz\mybizz-core\server_code\server_settings\__init__.py</t>
  </si>
  <si>
    <t>server_shared</t>
  </si>
  <si>
    <t>C:\_Data\_Mybizz\mybizz-core\server_code\server_shared\audit_logger.py</t>
  </si>
  <si>
    <t>C:\_Data\_Mybizz\mybizz-core\server_code\server_shared\backup_service.py</t>
  </si>
  <si>
    <t>C:\_Data\_Mybizz\mybizz-core\server_code\server_shared\chatbot_service.py</t>
  </si>
  <si>
    <t>C:\_Data\_Mybizz\mybizz-core\server_code\server_shared\config.py</t>
  </si>
  <si>
    <t>C:\_Data\_Mybizz\mybizz-core\server_code\server_shared\encryption_service.py</t>
  </si>
  <si>
    <t>C:\_Data\_Mybizz\mybizz-core\server_code\server_shared\kb_service.py</t>
  </si>
  <si>
    <t>C:\_Data\_Mybizz\mybizz-core\server_code\server_shared\page_service.py</t>
  </si>
  <si>
    <t>C:\_Data\_Mybizz\mybizz-core\server_code\server_shared\server_review_service.py</t>
  </si>
  <si>
    <t>C:\_Data\_Mybizz\mybizz-core\server_code\server_shared\ticket_service.py</t>
  </si>
  <si>
    <t>C:\_Data\_Mybizz\mybizz-core\server_code\server_shared\utilities.py</t>
  </si>
  <si>
    <t>C:\_Data\_Mybizz\mybizz-core\server_code\server_shared\validators.py</t>
  </si>
  <si>
    <t>C:\_Data\_Mybizz\mybizz-core\server_code\server_shared\__init__.py</t>
  </si>
  <si>
    <t>C:\_Data\_Mybizz\mybizz-core\server_code\requirements.txt</t>
  </si>
  <si>
    <t>Heading (lbl_page_title) "Settings" (role: headline-large)</t>
  </si>
  <si>
    <t xml:space="preserve">Linear Panel (lp_tab_bar) </t>
  </si>
  <si>
    <t>Button (btn_tab_email) "Email Setup" (role: outlined)</t>
  </si>
  <si>
    <t>Button (btn_tab_business) "Business Profile" (role: filled)</t>
  </si>
  <si>
    <t>Button (btn_tab_payments) "Payment Gateway" (role: outlined)</t>
  </si>
  <si>
    <t>??????? (???????) "Theme &amp; Branding" (role: ??????)</t>
  </si>
</sst>
</file>

<file path=xl/styles.xml><?xml version="1.0" encoding="utf-8"?>
<styleSheet xmlns="http://schemas.openxmlformats.org/spreadsheetml/2006/main">
  <fonts count="1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i/>
      <sz val="9"/>
      <color rgb="FF595959"/>
      <name val="Arial"/>
      <charset val="1"/>
    </font>
    <font>
      <b/>
      <sz val="10"/>
      <color rgb="FFFFFFFF"/>
      <name val="Arial"/>
      <charset val="1"/>
    </font>
    <font>
      <sz val="10"/>
      <color rgb="FF000000"/>
      <name val="Arial"/>
      <charset val="1"/>
    </font>
    <font>
      <sz val="10"/>
      <color rgb="FF0000FF"/>
      <name val="Arial"/>
      <charset val="1"/>
    </font>
    <font>
      <b/>
      <sz val="10"/>
      <color rgb="FF0000FF"/>
      <name val="Arial"/>
      <charset val="1"/>
    </font>
    <font>
      <b/>
      <sz val="10"/>
      <color rgb="FF000000"/>
      <name val="Arial"/>
      <charset val="1"/>
    </font>
    <font>
      <b/>
      <sz val="11"/>
      <color rgb="FFFFFFFF"/>
      <name val="Arial"/>
      <charset val="1"/>
    </font>
    <font>
      <b/>
      <sz val="10"/>
      <color rgb="FF375623"/>
      <name val="Arial"/>
      <charset val="1"/>
    </font>
    <font>
      <sz val="11"/>
      <color theme="1"/>
      <name val="Calibri"/>
      <family val="2"/>
    </font>
    <font>
      <sz val="10"/>
      <color rgb="FF000000"/>
      <name val="Arial"/>
      <family val="2"/>
    </font>
    <font>
      <sz val="11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2E75B6"/>
        <bgColor rgb="FF0066CC"/>
      </patternFill>
    </fill>
    <fill>
      <patternFill patternType="solid">
        <fgColor rgb="FFE2EFDA"/>
        <bgColor rgb="FFD6E4F0"/>
      </patternFill>
    </fill>
    <fill>
      <patternFill patternType="solid">
        <fgColor rgb="FFD6E4F0"/>
        <bgColor rgb="FFE2EFDA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0" fillId="0" borderId="0" xfId="0" applyAlignment="1"/>
    <xf numFmtId="0" fontId="4" fillId="4" borderId="1" xfId="0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2" fillId="0" borderId="0" xfId="0" applyFont="1" applyBorder="1" applyAlignment="1">
      <alignment horizontal="left" vertical="center"/>
    </xf>
    <xf numFmtId="0" fontId="3" fillId="3" borderId="2" xfId="0" applyFont="1" applyFill="1" applyBorder="1" applyAlignment="1">
      <alignment horizontal="left" vertical="center"/>
    </xf>
    <xf numFmtId="0" fontId="9" fillId="4" borderId="2" xfId="0" applyFont="1" applyFill="1" applyBorder="1" applyAlignment="1">
      <alignment horizontal="left" vertical="center"/>
    </xf>
    <xf numFmtId="0" fontId="10" fillId="0" borderId="0" xfId="0" applyFont="1"/>
    <xf numFmtId="0" fontId="11" fillId="5" borderId="1" xfId="0" applyFont="1" applyFill="1" applyBorder="1" applyAlignment="1">
      <alignment horizontal="left" vertical="center"/>
    </xf>
    <xf numFmtId="0" fontId="12" fillId="0" borderId="0" xfId="0" applyFont="1" applyAlignment="1">
      <alignment horizontal="left" readingOrder="2"/>
    </xf>
    <xf numFmtId="0" fontId="1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57715</xdr:colOff>
      <xdr:row>5</xdr:row>
      <xdr:rowOff>21110</xdr:rowOff>
    </xdr:from>
    <xdr:to>
      <xdr:col>0</xdr:col>
      <xdr:colOff>133914</xdr:colOff>
      <xdr:row>5</xdr:row>
      <xdr:rowOff>118454</xdr:rowOff>
    </xdr:to>
    <xdr:grpSp>
      <xdr:nvGrpSpPr>
        <xdr:cNvPr id="22" name="Group 21"/>
        <xdr:cNvGrpSpPr/>
      </xdr:nvGrpSpPr>
      <xdr:grpSpPr>
        <a:xfrm>
          <a:off x="57715" y="973610"/>
          <a:ext cx="76199" cy="97344"/>
          <a:chOff x="1879563" y="193055"/>
          <a:chExt cx="76199" cy="97344"/>
        </a:xfrm>
      </xdr:grpSpPr>
      <xdr:cxnSp macro="">
        <xdr:nvCxnSpPr>
          <xdr:cNvPr id="19" name="Straight Connector 18"/>
          <xdr:cNvCxnSpPr/>
        </xdr:nvCxnSpPr>
        <xdr:spPr>
          <a:xfrm rot="5400000">
            <a:off x="1833155" y="241668"/>
            <a:ext cx="97344" cy="118"/>
          </a:xfrm>
          <a:prstGeom prst="line">
            <a:avLst/>
          </a:prstGeom>
          <a:ln>
            <a:solidFill>
              <a:sysClr val="windowText" lastClr="00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0" name="Straight Connector 19"/>
          <xdr:cNvCxnSpPr/>
        </xdr:nvCxnSpPr>
        <xdr:spPr>
          <a:xfrm flipV="1">
            <a:off x="1879563" y="288885"/>
            <a:ext cx="76199" cy="581"/>
          </a:xfrm>
          <a:prstGeom prst="line">
            <a:avLst/>
          </a:prstGeom>
          <a:ln>
            <a:solidFill>
              <a:sysClr val="windowText" lastClr="00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63692</xdr:colOff>
      <xdr:row>1</xdr:row>
      <xdr:rowOff>6189</xdr:rowOff>
    </xdr:from>
    <xdr:to>
      <xdr:col>0</xdr:col>
      <xdr:colOff>65240</xdr:colOff>
      <xdr:row>1</xdr:row>
      <xdr:rowOff>189195</xdr:rowOff>
    </xdr:to>
    <xdr:cxnSp macro="">
      <xdr:nvCxnSpPr>
        <xdr:cNvPr id="24" name="Straight Connector 23"/>
        <xdr:cNvCxnSpPr/>
      </xdr:nvCxnSpPr>
      <xdr:spPr>
        <a:xfrm rot="16200000" flipH="1">
          <a:off x="-27037" y="286113"/>
          <a:ext cx="183006" cy="1548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29581</xdr:colOff>
      <xdr:row>4</xdr:row>
      <xdr:rowOff>75743</xdr:rowOff>
    </xdr:from>
    <xdr:to>
      <xdr:col>0</xdr:col>
      <xdr:colOff>105780</xdr:colOff>
      <xdr:row>4</xdr:row>
      <xdr:rowOff>76324</xdr:rowOff>
    </xdr:to>
    <xdr:cxnSp macro="">
      <xdr:nvCxnSpPr>
        <xdr:cNvPr id="25" name="Straight Connector 24"/>
        <xdr:cNvCxnSpPr/>
      </xdr:nvCxnSpPr>
      <xdr:spPr>
        <a:xfrm flipV="1">
          <a:off x="29581" y="832524"/>
          <a:ext cx="76199" cy="581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79771</xdr:colOff>
      <xdr:row>4</xdr:row>
      <xdr:rowOff>5753</xdr:rowOff>
    </xdr:from>
    <xdr:to>
      <xdr:col>4</xdr:col>
      <xdr:colOff>80596</xdr:colOff>
      <xdr:row>7</xdr:row>
      <xdr:rowOff>7326</xdr:rowOff>
    </xdr:to>
    <xdr:cxnSp macro="">
      <xdr:nvCxnSpPr>
        <xdr:cNvPr id="26" name="Straight Connector 25"/>
        <xdr:cNvCxnSpPr/>
      </xdr:nvCxnSpPr>
      <xdr:spPr>
        <a:xfrm rot="16200000" flipH="1">
          <a:off x="467724" y="1053877"/>
          <a:ext cx="573073" cy="8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153866</xdr:colOff>
      <xdr:row>0</xdr:row>
      <xdr:rowOff>175846</xdr:rowOff>
    </xdr:from>
    <xdr:to>
      <xdr:col>53</xdr:col>
      <xdr:colOff>131885</xdr:colOff>
      <xdr:row>16</xdr:row>
      <xdr:rowOff>153865</xdr:rowOff>
    </xdr:to>
    <xdr:sp macro="" textlink="">
      <xdr:nvSpPr>
        <xdr:cNvPr id="2049" name="Text Box 1"/>
        <xdr:cNvSpPr txBox="1">
          <a:spLocks noChangeArrowheads="1"/>
        </xdr:cNvSpPr>
      </xdr:nvSpPr>
      <xdr:spPr bwMode="auto">
        <a:xfrm>
          <a:off x="5377962" y="175846"/>
          <a:ext cx="3685442" cy="3026019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36576" tIns="32004" rIns="0" bIns="0" anchor="t" upright="1"/>
        <a:lstStyle/>
        <a:p>
          <a:pPr algn="l" rtl="1">
            <a:defRPr sz="1000"/>
          </a:pPr>
          <a:r>
            <a:rPr lang="en-US" sz="1100" b="0" i="0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t>SettingsForm</a:t>
          </a:r>
        </a:p>
        <a:p>
          <a:pPr algn="l" rtl="1">
            <a:defRPr sz="1000"/>
          </a:pPr>
          <a:r>
            <a:rPr lang="en-US" sz="1100" b="0" i="0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t>├── lbl_page_title          Heading        role: headline-large    text: "Settings"</a:t>
          </a:r>
        </a:p>
        <a:p>
          <a:pPr algn="l" rtl="1">
            <a:defRPr sz="1000"/>
          </a:pPr>
          <a:r>
            <a:rPr lang="en-US" sz="1100" b="0" i="0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t>├── lp_tab_bar              LinearPanel    horizontal</a:t>
          </a:r>
        </a:p>
        <a:p>
          <a:pPr algn="l" rtl="1">
            <a:defRPr sz="1000"/>
          </a:pPr>
          <a:r>
            <a:rPr lang="en-US" sz="1100" b="0" i="0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t>│   ├── btn_tab_business    Button         role: filled-button     text: "Business Profile"</a:t>
          </a:r>
        </a:p>
        <a:p>
          <a:pPr algn="l" rtl="1">
            <a:defRPr sz="1000"/>
          </a:pPr>
          <a:r>
            <a:rPr lang="en-US" sz="1100" b="0" i="0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t>│   ├── btn_tab_email       Button         role: outlined          text: "Email Setup"</a:t>
          </a:r>
        </a:p>
        <a:p>
          <a:pPr algn="l" rtl="1">
            <a:defRPr sz="1000"/>
          </a:pPr>
          <a:r>
            <a:rPr lang="en-US" sz="1100" b="0" i="0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t>│   ├── btn_tab_payments    Button         role: outlined          text: "Payment Gateway"</a:t>
          </a:r>
        </a:p>
        <a:p>
          <a:pPr algn="l" rtl="1">
            <a:defRPr sz="1000"/>
          </a:pPr>
          <a:r>
            <a:rPr lang="en-US" sz="1100" b="0" i="0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t>│   └── btn_tab_theme       Button         role: outlined          text: "Theme &amp; Branding"</a:t>
          </a:r>
        </a:p>
        <a:p>
          <a:pPr algn="l" rtl="1">
            <a:defRPr sz="1000"/>
          </a:pPr>
          <a:r>
            <a:rPr lang="en-US" sz="1100" b="0" i="0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t>├── col_business            ColumnPanel    visible: True</a:t>
          </a:r>
        </a:p>
        <a:p>
          <a:pPr algn="l" rtl="1">
            <a:defRPr sz="1000"/>
          </a:pPr>
          <a:r>
            <a:rPr lang="en-US" sz="1100" b="0" i="0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t>├── col_email               ColumnPanel    visible: False</a:t>
          </a:r>
        </a:p>
        <a:p>
          <a:pPr algn="l" rtl="1">
            <a:defRPr sz="1000"/>
          </a:pPr>
          <a:r>
            <a:rPr lang="en-US" sz="1100" b="0" i="0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t>├── col_payments            ColumnPanel    visible: False</a:t>
          </a:r>
        </a:p>
        <a:p>
          <a:pPr algn="l" rtl="1">
            <a:defRPr sz="1000"/>
          </a:pPr>
          <a:r>
            <a:rPr lang="en-US" sz="1100" b="0" i="0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t>└── col_theme               ColumnPanel    visible: False</a:t>
          </a:r>
        </a:p>
      </xdr:txBody>
    </xdr:sp>
    <xdr:clientData/>
  </xdr:twoCellAnchor>
  <xdr:twoCellAnchor>
    <xdr:from>
      <xdr:col>5</xdr:col>
      <xdr:colOff>92512</xdr:colOff>
      <xdr:row>4</xdr:row>
      <xdr:rowOff>3761</xdr:rowOff>
    </xdr:from>
    <xdr:to>
      <xdr:col>6</xdr:col>
      <xdr:colOff>6581</xdr:colOff>
      <xdr:row>5</xdr:row>
      <xdr:rowOff>5862</xdr:rowOff>
    </xdr:to>
    <xdr:grpSp>
      <xdr:nvGrpSpPr>
        <xdr:cNvPr id="34" name="Group 33"/>
        <xdr:cNvGrpSpPr/>
      </xdr:nvGrpSpPr>
      <xdr:grpSpPr>
        <a:xfrm>
          <a:off x="935108" y="765761"/>
          <a:ext cx="82588" cy="192601"/>
          <a:chOff x="2086673" y="191661"/>
          <a:chExt cx="82588" cy="200373"/>
        </a:xfrm>
      </xdr:grpSpPr>
      <xdr:cxnSp macro="">
        <xdr:nvCxnSpPr>
          <xdr:cNvPr id="35" name="Straight Connector 34"/>
          <xdr:cNvCxnSpPr/>
        </xdr:nvCxnSpPr>
        <xdr:spPr>
          <a:xfrm rot="16200000" flipH="1">
            <a:off x="1987125" y="291209"/>
            <a:ext cx="200373" cy="1278"/>
          </a:xfrm>
          <a:prstGeom prst="line">
            <a:avLst/>
          </a:prstGeom>
          <a:ln>
            <a:solidFill>
              <a:sysClr val="windowText" lastClr="00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36" name="Straight Connector 35"/>
          <xdr:cNvCxnSpPr/>
        </xdr:nvCxnSpPr>
        <xdr:spPr>
          <a:xfrm flipV="1">
            <a:off x="2093062" y="287492"/>
            <a:ext cx="76199" cy="581"/>
          </a:xfrm>
          <a:prstGeom prst="line">
            <a:avLst/>
          </a:prstGeom>
          <a:ln>
            <a:solidFill>
              <a:sysClr val="windowText" lastClr="00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4</xdr:col>
      <xdr:colOff>83718</xdr:colOff>
      <xdr:row>3</xdr:row>
      <xdr:rowOff>2296</xdr:rowOff>
    </xdr:from>
    <xdr:to>
      <xdr:col>4</xdr:col>
      <xdr:colOff>166306</xdr:colOff>
      <xdr:row>4</xdr:row>
      <xdr:rowOff>4397</xdr:rowOff>
    </xdr:to>
    <xdr:grpSp>
      <xdr:nvGrpSpPr>
        <xdr:cNvPr id="37" name="Group 36"/>
        <xdr:cNvGrpSpPr/>
      </xdr:nvGrpSpPr>
      <xdr:grpSpPr>
        <a:xfrm>
          <a:off x="757795" y="573796"/>
          <a:ext cx="82588" cy="192601"/>
          <a:chOff x="2086673" y="191661"/>
          <a:chExt cx="82588" cy="200373"/>
        </a:xfrm>
      </xdr:grpSpPr>
      <xdr:cxnSp macro="">
        <xdr:nvCxnSpPr>
          <xdr:cNvPr id="38" name="Straight Connector 37"/>
          <xdr:cNvCxnSpPr/>
        </xdr:nvCxnSpPr>
        <xdr:spPr>
          <a:xfrm rot="16200000" flipH="1">
            <a:off x="1987125" y="291209"/>
            <a:ext cx="200373" cy="1278"/>
          </a:xfrm>
          <a:prstGeom prst="line">
            <a:avLst/>
          </a:prstGeom>
          <a:ln>
            <a:solidFill>
              <a:sysClr val="windowText" lastClr="00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39" name="Straight Connector 38"/>
          <xdr:cNvCxnSpPr/>
        </xdr:nvCxnSpPr>
        <xdr:spPr>
          <a:xfrm flipV="1">
            <a:off x="2093062" y="287492"/>
            <a:ext cx="76199" cy="581"/>
          </a:xfrm>
          <a:prstGeom prst="line">
            <a:avLst/>
          </a:prstGeom>
          <a:ln>
            <a:solidFill>
              <a:sysClr val="windowText" lastClr="00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5</xdr:col>
      <xdr:colOff>95251</xdr:colOff>
      <xdr:row>5</xdr:row>
      <xdr:rowOff>0</xdr:rowOff>
    </xdr:from>
    <xdr:to>
      <xdr:col>6</xdr:col>
      <xdr:colOff>9320</xdr:colOff>
      <xdr:row>6</xdr:row>
      <xdr:rowOff>2101</xdr:rowOff>
    </xdr:to>
    <xdr:grpSp>
      <xdr:nvGrpSpPr>
        <xdr:cNvPr id="40" name="Group 39"/>
        <xdr:cNvGrpSpPr/>
      </xdr:nvGrpSpPr>
      <xdr:grpSpPr>
        <a:xfrm>
          <a:off x="937847" y="952500"/>
          <a:ext cx="82588" cy="192601"/>
          <a:chOff x="2086673" y="191661"/>
          <a:chExt cx="82588" cy="200373"/>
        </a:xfrm>
      </xdr:grpSpPr>
      <xdr:cxnSp macro="">
        <xdr:nvCxnSpPr>
          <xdr:cNvPr id="41" name="Straight Connector 40"/>
          <xdr:cNvCxnSpPr/>
        </xdr:nvCxnSpPr>
        <xdr:spPr>
          <a:xfrm rot="16200000" flipH="1">
            <a:off x="1987125" y="291209"/>
            <a:ext cx="200373" cy="1278"/>
          </a:xfrm>
          <a:prstGeom prst="line">
            <a:avLst/>
          </a:prstGeom>
          <a:ln>
            <a:solidFill>
              <a:sysClr val="windowText" lastClr="00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2" name="Straight Connector 41"/>
          <xdr:cNvCxnSpPr/>
        </xdr:nvCxnSpPr>
        <xdr:spPr>
          <a:xfrm flipV="1">
            <a:off x="2093062" y="287492"/>
            <a:ext cx="76199" cy="581"/>
          </a:xfrm>
          <a:prstGeom prst="line">
            <a:avLst/>
          </a:prstGeom>
          <a:ln>
            <a:solidFill>
              <a:sysClr val="windowText" lastClr="00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5</xdr:col>
      <xdr:colOff>92512</xdr:colOff>
      <xdr:row>5</xdr:row>
      <xdr:rowOff>3761</xdr:rowOff>
    </xdr:from>
    <xdr:to>
      <xdr:col>6</xdr:col>
      <xdr:colOff>6581</xdr:colOff>
      <xdr:row>6</xdr:row>
      <xdr:rowOff>5862</xdr:rowOff>
    </xdr:to>
    <xdr:grpSp>
      <xdr:nvGrpSpPr>
        <xdr:cNvPr id="43" name="Group 42"/>
        <xdr:cNvGrpSpPr/>
      </xdr:nvGrpSpPr>
      <xdr:grpSpPr>
        <a:xfrm>
          <a:off x="935108" y="956261"/>
          <a:ext cx="82588" cy="192601"/>
          <a:chOff x="2086673" y="191661"/>
          <a:chExt cx="82588" cy="200373"/>
        </a:xfrm>
      </xdr:grpSpPr>
      <xdr:cxnSp macro="">
        <xdr:nvCxnSpPr>
          <xdr:cNvPr id="44" name="Straight Connector 43"/>
          <xdr:cNvCxnSpPr/>
        </xdr:nvCxnSpPr>
        <xdr:spPr>
          <a:xfrm rot="16200000" flipH="1">
            <a:off x="1987125" y="291209"/>
            <a:ext cx="200373" cy="1278"/>
          </a:xfrm>
          <a:prstGeom prst="line">
            <a:avLst/>
          </a:prstGeom>
          <a:ln>
            <a:solidFill>
              <a:sysClr val="windowText" lastClr="00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5" name="Straight Connector 44"/>
          <xdr:cNvCxnSpPr/>
        </xdr:nvCxnSpPr>
        <xdr:spPr>
          <a:xfrm flipV="1">
            <a:off x="2093062" y="287492"/>
            <a:ext cx="76199" cy="581"/>
          </a:xfrm>
          <a:prstGeom prst="line">
            <a:avLst/>
          </a:prstGeom>
          <a:ln>
            <a:solidFill>
              <a:sysClr val="windowText" lastClr="00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5</xdr:col>
      <xdr:colOff>92512</xdr:colOff>
      <xdr:row>5</xdr:row>
      <xdr:rowOff>3761</xdr:rowOff>
    </xdr:from>
    <xdr:to>
      <xdr:col>6</xdr:col>
      <xdr:colOff>6581</xdr:colOff>
      <xdr:row>6</xdr:row>
      <xdr:rowOff>5862</xdr:rowOff>
    </xdr:to>
    <xdr:grpSp>
      <xdr:nvGrpSpPr>
        <xdr:cNvPr id="49" name="Group 48"/>
        <xdr:cNvGrpSpPr/>
      </xdr:nvGrpSpPr>
      <xdr:grpSpPr>
        <a:xfrm>
          <a:off x="935108" y="956261"/>
          <a:ext cx="82588" cy="192601"/>
          <a:chOff x="2086673" y="191661"/>
          <a:chExt cx="82588" cy="200373"/>
        </a:xfrm>
      </xdr:grpSpPr>
      <xdr:cxnSp macro="">
        <xdr:nvCxnSpPr>
          <xdr:cNvPr id="50" name="Straight Connector 49"/>
          <xdr:cNvCxnSpPr/>
        </xdr:nvCxnSpPr>
        <xdr:spPr>
          <a:xfrm rot="16200000" flipH="1">
            <a:off x="1987125" y="291209"/>
            <a:ext cx="200373" cy="1278"/>
          </a:xfrm>
          <a:prstGeom prst="line">
            <a:avLst/>
          </a:prstGeom>
          <a:ln>
            <a:solidFill>
              <a:sysClr val="windowText" lastClr="00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1" name="Straight Connector 50"/>
          <xdr:cNvCxnSpPr/>
        </xdr:nvCxnSpPr>
        <xdr:spPr>
          <a:xfrm flipV="1">
            <a:off x="2093062" y="287492"/>
            <a:ext cx="76199" cy="581"/>
          </a:xfrm>
          <a:prstGeom prst="line">
            <a:avLst/>
          </a:prstGeom>
          <a:ln>
            <a:solidFill>
              <a:sysClr val="windowText" lastClr="00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26570</xdr:colOff>
      <xdr:row>2</xdr:row>
      <xdr:rowOff>3761</xdr:rowOff>
    </xdr:from>
    <xdr:to>
      <xdr:col>0</xdr:col>
      <xdr:colOff>109158</xdr:colOff>
      <xdr:row>3</xdr:row>
      <xdr:rowOff>5862</xdr:rowOff>
    </xdr:to>
    <xdr:grpSp>
      <xdr:nvGrpSpPr>
        <xdr:cNvPr id="55" name="Group 54"/>
        <xdr:cNvGrpSpPr/>
      </xdr:nvGrpSpPr>
      <xdr:grpSpPr>
        <a:xfrm>
          <a:off x="26570" y="384761"/>
          <a:ext cx="82588" cy="192601"/>
          <a:chOff x="2086673" y="191661"/>
          <a:chExt cx="82588" cy="200373"/>
        </a:xfrm>
      </xdr:grpSpPr>
      <xdr:cxnSp macro="">
        <xdr:nvCxnSpPr>
          <xdr:cNvPr id="56" name="Straight Connector 55"/>
          <xdr:cNvCxnSpPr/>
        </xdr:nvCxnSpPr>
        <xdr:spPr>
          <a:xfrm rot="16200000" flipH="1">
            <a:off x="1987125" y="291209"/>
            <a:ext cx="200373" cy="1278"/>
          </a:xfrm>
          <a:prstGeom prst="line">
            <a:avLst/>
          </a:prstGeom>
          <a:ln>
            <a:solidFill>
              <a:sysClr val="windowText" lastClr="00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7" name="Straight Connector 56"/>
          <xdr:cNvCxnSpPr/>
        </xdr:nvCxnSpPr>
        <xdr:spPr>
          <a:xfrm flipV="1">
            <a:off x="2093062" y="287492"/>
            <a:ext cx="76199" cy="581"/>
          </a:xfrm>
          <a:prstGeom prst="line">
            <a:avLst/>
          </a:prstGeom>
          <a:ln>
            <a:solidFill>
              <a:sysClr val="windowText" lastClr="00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57715</xdr:colOff>
      <xdr:row>5</xdr:row>
      <xdr:rowOff>21110</xdr:rowOff>
    </xdr:from>
    <xdr:to>
      <xdr:col>0</xdr:col>
      <xdr:colOff>133914</xdr:colOff>
      <xdr:row>5</xdr:row>
      <xdr:rowOff>118454</xdr:rowOff>
    </xdr:to>
    <xdr:grpSp>
      <xdr:nvGrpSpPr>
        <xdr:cNvPr id="58" name="Group 57"/>
        <xdr:cNvGrpSpPr/>
      </xdr:nvGrpSpPr>
      <xdr:grpSpPr>
        <a:xfrm>
          <a:off x="57715" y="973610"/>
          <a:ext cx="76199" cy="97344"/>
          <a:chOff x="1879563" y="193055"/>
          <a:chExt cx="76199" cy="97344"/>
        </a:xfrm>
      </xdr:grpSpPr>
      <xdr:cxnSp macro="">
        <xdr:nvCxnSpPr>
          <xdr:cNvPr id="59" name="Straight Connector 58"/>
          <xdr:cNvCxnSpPr/>
        </xdr:nvCxnSpPr>
        <xdr:spPr>
          <a:xfrm rot="5400000">
            <a:off x="1833155" y="241668"/>
            <a:ext cx="97344" cy="118"/>
          </a:xfrm>
          <a:prstGeom prst="line">
            <a:avLst/>
          </a:prstGeom>
          <a:ln>
            <a:solidFill>
              <a:sysClr val="windowText" lastClr="00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0" name="Straight Connector 59"/>
          <xdr:cNvCxnSpPr/>
        </xdr:nvCxnSpPr>
        <xdr:spPr>
          <a:xfrm flipV="1">
            <a:off x="1879563" y="288885"/>
            <a:ext cx="76199" cy="581"/>
          </a:xfrm>
          <a:prstGeom prst="line">
            <a:avLst/>
          </a:prstGeom>
          <a:ln>
            <a:solidFill>
              <a:sysClr val="windowText" lastClr="00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5</xdr:col>
      <xdr:colOff>92885</xdr:colOff>
      <xdr:row>6</xdr:row>
      <xdr:rowOff>4991</xdr:rowOff>
    </xdr:from>
    <xdr:to>
      <xdr:col>6</xdr:col>
      <xdr:colOff>565</xdr:colOff>
      <xdr:row>6</xdr:row>
      <xdr:rowOff>102335</xdr:rowOff>
    </xdr:to>
    <xdr:grpSp>
      <xdr:nvGrpSpPr>
        <xdr:cNvPr id="61" name="Group 60"/>
        <xdr:cNvGrpSpPr/>
      </xdr:nvGrpSpPr>
      <xdr:grpSpPr>
        <a:xfrm>
          <a:off x="935481" y="1147991"/>
          <a:ext cx="76199" cy="97344"/>
          <a:chOff x="1879563" y="193055"/>
          <a:chExt cx="76199" cy="97344"/>
        </a:xfrm>
      </xdr:grpSpPr>
      <xdr:cxnSp macro="">
        <xdr:nvCxnSpPr>
          <xdr:cNvPr id="62" name="Straight Connector 61"/>
          <xdr:cNvCxnSpPr/>
        </xdr:nvCxnSpPr>
        <xdr:spPr>
          <a:xfrm rot="5400000">
            <a:off x="1833155" y="241668"/>
            <a:ext cx="97344" cy="118"/>
          </a:xfrm>
          <a:prstGeom prst="line">
            <a:avLst/>
          </a:prstGeom>
          <a:ln>
            <a:solidFill>
              <a:sysClr val="windowText" lastClr="00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3" name="Straight Connector 62"/>
          <xdr:cNvCxnSpPr/>
        </xdr:nvCxnSpPr>
        <xdr:spPr>
          <a:xfrm flipV="1">
            <a:off x="1879563" y="288885"/>
            <a:ext cx="76199" cy="581"/>
          </a:xfrm>
          <a:prstGeom prst="line">
            <a:avLst/>
          </a:prstGeom>
          <a:ln>
            <a:solidFill>
              <a:sysClr val="windowText" lastClr="00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3</xdr:col>
      <xdr:colOff>92884</xdr:colOff>
      <xdr:row>2</xdr:row>
      <xdr:rowOff>12318</xdr:rowOff>
    </xdr:from>
    <xdr:to>
      <xdr:col>4</xdr:col>
      <xdr:colOff>564</xdr:colOff>
      <xdr:row>2</xdr:row>
      <xdr:rowOff>109662</xdr:rowOff>
    </xdr:to>
    <xdr:grpSp>
      <xdr:nvGrpSpPr>
        <xdr:cNvPr id="64" name="Group 63"/>
        <xdr:cNvGrpSpPr/>
      </xdr:nvGrpSpPr>
      <xdr:grpSpPr>
        <a:xfrm>
          <a:off x="598442" y="393318"/>
          <a:ext cx="76199" cy="97344"/>
          <a:chOff x="1879563" y="193055"/>
          <a:chExt cx="76199" cy="97344"/>
        </a:xfrm>
      </xdr:grpSpPr>
      <xdr:cxnSp macro="">
        <xdr:nvCxnSpPr>
          <xdr:cNvPr id="65" name="Straight Connector 64"/>
          <xdr:cNvCxnSpPr/>
        </xdr:nvCxnSpPr>
        <xdr:spPr>
          <a:xfrm rot="5400000">
            <a:off x="1833155" y="241668"/>
            <a:ext cx="97344" cy="118"/>
          </a:xfrm>
          <a:prstGeom prst="line">
            <a:avLst/>
          </a:prstGeom>
          <a:ln>
            <a:solidFill>
              <a:sysClr val="windowText" lastClr="00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6" name="Straight Connector 65"/>
          <xdr:cNvCxnSpPr/>
        </xdr:nvCxnSpPr>
        <xdr:spPr>
          <a:xfrm flipV="1">
            <a:off x="1879563" y="288885"/>
            <a:ext cx="76199" cy="581"/>
          </a:xfrm>
          <a:prstGeom prst="line">
            <a:avLst/>
          </a:prstGeom>
          <a:ln>
            <a:solidFill>
              <a:sysClr val="windowText" lastClr="00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4</xdr:col>
      <xdr:colOff>78231</xdr:colOff>
      <xdr:row>6</xdr:row>
      <xdr:rowOff>180836</xdr:rowOff>
    </xdr:from>
    <xdr:to>
      <xdr:col>4</xdr:col>
      <xdr:colOff>154430</xdr:colOff>
      <xdr:row>7</xdr:row>
      <xdr:rowOff>87680</xdr:rowOff>
    </xdr:to>
    <xdr:grpSp>
      <xdr:nvGrpSpPr>
        <xdr:cNvPr id="68" name="Group 67"/>
        <xdr:cNvGrpSpPr/>
      </xdr:nvGrpSpPr>
      <xdr:grpSpPr>
        <a:xfrm>
          <a:off x="752308" y="1323836"/>
          <a:ext cx="76199" cy="97344"/>
          <a:chOff x="1879563" y="193055"/>
          <a:chExt cx="76199" cy="97344"/>
        </a:xfrm>
      </xdr:grpSpPr>
      <xdr:cxnSp macro="">
        <xdr:nvCxnSpPr>
          <xdr:cNvPr id="69" name="Straight Connector 68"/>
          <xdr:cNvCxnSpPr/>
        </xdr:nvCxnSpPr>
        <xdr:spPr>
          <a:xfrm rot="5400000">
            <a:off x="1833155" y="241668"/>
            <a:ext cx="97344" cy="118"/>
          </a:xfrm>
          <a:prstGeom prst="line">
            <a:avLst/>
          </a:prstGeom>
          <a:ln>
            <a:solidFill>
              <a:sysClr val="windowText" lastClr="00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70" name="Straight Connector 69"/>
          <xdr:cNvCxnSpPr/>
        </xdr:nvCxnSpPr>
        <xdr:spPr>
          <a:xfrm flipV="1">
            <a:off x="1879563" y="288885"/>
            <a:ext cx="76199" cy="581"/>
          </a:xfrm>
          <a:prstGeom prst="line">
            <a:avLst/>
          </a:prstGeom>
          <a:ln>
            <a:solidFill>
              <a:sysClr val="windowText" lastClr="00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4</xdr:col>
      <xdr:colOff>95251</xdr:colOff>
      <xdr:row>6</xdr:row>
      <xdr:rowOff>0</xdr:rowOff>
    </xdr:from>
    <xdr:to>
      <xdr:col>5</xdr:col>
      <xdr:colOff>9320</xdr:colOff>
      <xdr:row>7</xdr:row>
      <xdr:rowOff>2101</xdr:rowOff>
    </xdr:to>
    <xdr:grpSp>
      <xdr:nvGrpSpPr>
        <xdr:cNvPr id="71" name="Group 70"/>
        <xdr:cNvGrpSpPr/>
      </xdr:nvGrpSpPr>
      <xdr:grpSpPr>
        <a:xfrm>
          <a:off x="769328" y="1143000"/>
          <a:ext cx="82588" cy="192601"/>
          <a:chOff x="2086673" y="191661"/>
          <a:chExt cx="82588" cy="200373"/>
        </a:xfrm>
      </xdr:grpSpPr>
      <xdr:cxnSp macro="">
        <xdr:nvCxnSpPr>
          <xdr:cNvPr id="72" name="Straight Connector 71"/>
          <xdr:cNvCxnSpPr/>
        </xdr:nvCxnSpPr>
        <xdr:spPr>
          <a:xfrm rot="16200000" flipH="1">
            <a:off x="1987125" y="291209"/>
            <a:ext cx="200373" cy="1278"/>
          </a:xfrm>
          <a:prstGeom prst="line">
            <a:avLst/>
          </a:prstGeom>
          <a:ln>
            <a:solidFill>
              <a:sysClr val="windowText" lastClr="00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73" name="Straight Connector 72"/>
          <xdr:cNvCxnSpPr/>
        </xdr:nvCxnSpPr>
        <xdr:spPr>
          <a:xfrm flipV="1">
            <a:off x="2093062" y="287492"/>
            <a:ext cx="76199" cy="581"/>
          </a:xfrm>
          <a:prstGeom prst="line">
            <a:avLst/>
          </a:prstGeom>
          <a:ln>
            <a:solidFill>
              <a:sysClr val="windowText" lastClr="00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4</xdr:col>
      <xdr:colOff>92512</xdr:colOff>
      <xdr:row>6</xdr:row>
      <xdr:rowOff>3761</xdr:rowOff>
    </xdr:from>
    <xdr:to>
      <xdr:col>5</xdr:col>
      <xdr:colOff>6581</xdr:colOff>
      <xdr:row>7</xdr:row>
      <xdr:rowOff>5862</xdr:rowOff>
    </xdr:to>
    <xdr:grpSp>
      <xdr:nvGrpSpPr>
        <xdr:cNvPr id="74" name="Group 73"/>
        <xdr:cNvGrpSpPr/>
      </xdr:nvGrpSpPr>
      <xdr:grpSpPr>
        <a:xfrm>
          <a:off x="766589" y="1146761"/>
          <a:ext cx="82588" cy="192601"/>
          <a:chOff x="2086673" y="191661"/>
          <a:chExt cx="82588" cy="200373"/>
        </a:xfrm>
      </xdr:grpSpPr>
      <xdr:cxnSp macro="">
        <xdr:nvCxnSpPr>
          <xdr:cNvPr id="75" name="Straight Connector 74"/>
          <xdr:cNvCxnSpPr/>
        </xdr:nvCxnSpPr>
        <xdr:spPr>
          <a:xfrm rot="16200000" flipH="1">
            <a:off x="1987125" y="291209"/>
            <a:ext cx="200373" cy="1278"/>
          </a:xfrm>
          <a:prstGeom prst="line">
            <a:avLst/>
          </a:prstGeom>
          <a:ln>
            <a:solidFill>
              <a:sysClr val="windowText" lastClr="00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76" name="Straight Connector 75"/>
          <xdr:cNvCxnSpPr/>
        </xdr:nvCxnSpPr>
        <xdr:spPr>
          <a:xfrm flipV="1">
            <a:off x="2093062" y="287492"/>
            <a:ext cx="76199" cy="581"/>
          </a:xfrm>
          <a:prstGeom prst="line">
            <a:avLst/>
          </a:prstGeom>
          <a:ln>
            <a:solidFill>
              <a:sysClr val="windowText" lastClr="00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4</xdr:col>
      <xdr:colOff>92512</xdr:colOff>
      <xdr:row>6</xdr:row>
      <xdr:rowOff>3761</xdr:rowOff>
    </xdr:from>
    <xdr:to>
      <xdr:col>5</xdr:col>
      <xdr:colOff>6581</xdr:colOff>
      <xdr:row>7</xdr:row>
      <xdr:rowOff>5862</xdr:rowOff>
    </xdr:to>
    <xdr:grpSp>
      <xdr:nvGrpSpPr>
        <xdr:cNvPr id="77" name="Group 76"/>
        <xdr:cNvGrpSpPr/>
      </xdr:nvGrpSpPr>
      <xdr:grpSpPr>
        <a:xfrm>
          <a:off x="766589" y="1146761"/>
          <a:ext cx="82588" cy="192601"/>
          <a:chOff x="2086673" y="191661"/>
          <a:chExt cx="82588" cy="200373"/>
        </a:xfrm>
      </xdr:grpSpPr>
      <xdr:cxnSp macro="">
        <xdr:nvCxnSpPr>
          <xdr:cNvPr id="78" name="Straight Connector 77"/>
          <xdr:cNvCxnSpPr/>
        </xdr:nvCxnSpPr>
        <xdr:spPr>
          <a:xfrm rot="16200000" flipH="1">
            <a:off x="1987125" y="291209"/>
            <a:ext cx="200373" cy="1278"/>
          </a:xfrm>
          <a:prstGeom prst="line">
            <a:avLst/>
          </a:prstGeom>
          <a:ln>
            <a:solidFill>
              <a:sysClr val="windowText" lastClr="00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79" name="Straight Connector 78"/>
          <xdr:cNvCxnSpPr/>
        </xdr:nvCxnSpPr>
        <xdr:spPr>
          <a:xfrm flipV="1">
            <a:off x="2093062" y="287492"/>
            <a:ext cx="76199" cy="581"/>
          </a:xfrm>
          <a:prstGeom prst="line">
            <a:avLst/>
          </a:prstGeom>
          <a:ln>
            <a:solidFill>
              <a:sysClr val="windowText" lastClr="00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4</xdr:col>
      <xdr:colOff>92885</xdr:colOff>
      <xdr:row>7</xdr:row>
      <xdr:rowOff>4991</xdr:rowOff>
    </xdr:from>
    <xdr:to>
      <xdr:col>5</xdr:col>
      <xdr:colOff>565</xdr:colOff>
      <xdr:row>7</xdr:row>
      <xdr:rowOff>102335</xdr:rowOff>
    </xdr:to>
    <xdr:grpSp>
      <xdr:nvGrpSpPr>
        <xdr:cNvPr id="80" name="Group 79"/>
        <xdr:cNvGrpSpPr/>
      </xdr:nvGrpSpPr>
      <xdr:grpSpPr>
        <a:xfrm>
          <a:off x="766962" y="1338491"/>
          <a:ext cx="76199" cy="97344"/>
          <a:chOff x="1879563" y="193055"/>
          <a:chExt cx="76199" cy="97344"/>
        </a:xfrm>
      </xdr:grpSpPr>
      <xdr:cxnSp macro="">
        <xdr:nvCxnSpPr>
          <xdr:cNvPr id="81" name="Straight Connector 80"/>
          <xdr:cNvCxnSpPr/>
        </xdr:nvCxnSpPr>
        <xdr:spPr>
          <a:xfrm rot="5400000">
            <a:off x="1833155" y="241668"/>
            <a:ext cx="97344" cy="118"/>
          </a:xfrm>
          <a:prstGeom prst="line">
            <a:avLst/>
          </a:prstGeom>
          <a:ln>
            <a:solidFill>
              <a:sysClr val="windowText" lastClr="00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82" name="Straight Connector 81"/>
          <xdr:cNvCxnSpPr/>
        </xdr:nvCxnSpPr>
        <xdr:spPr>
          <a:xfrm flipV="1">
            <a:off x="1879563" y="288885"/>
            <a:ext cx="76199" cy="581"/>
          </a:xfrm>
          <a:prstGeom prst="line">
            <a:avLst/>
          </a:prstGeom>
          <a:ln>
            <a:solidFill>
              <a:sysClr val="windowText" lastClr="00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54"/>
  <sheetViews>
    <sheetView workbookViewId="0">
      <selection activeCell="A9" sqref="A9"/>
    </sheetView>
  </sheetViews>
  <sheetFormatPr defaultColWidth="8.7109375" defaultRowHeight="15"/>
  <cols>
    <col min="1" max="1" width="38" style="9" customWidth="1"/>
    <col min="2" max="7" width="11" style="9" customWidth="1"/>
    <col min="8" max="8" width="13" style="9" customWidth="1"/>
    <col min="9" max="9" width="11" style="9" customWidth="1"/>
    <col min="10" max="10" width="13" style="9" customWidth="1"/>
    <col min="11" max="11" width="8" style="9" customWidth="1"/>
    <col min="12" max="16384" width="8.7109375" style="9"/>
  </cols>
  <sheetData>
    <row r="1" spans="1:11" ht="27.75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ht="15.75" customHeight="1">
      <c r="A2" s="13" t="s">
        <v>1</v>
      </c>
      <c r="B2" s="13"/>
      <c r="C2" s="13"/>
      <c r="D2" s="13"/>
      <c r="E2" s="13"/>
      <c r="F2" s="13"/>
      <c r="G2" s="13"/>
      <c r="H2" s="13"/>
      <c r="I2" s="13"/>
      <c r="J2" s="13"/>
      <c r="K2" s="13"/>
    </row>
    <row r="3" spans="1:11" ht="6" customHeight="1">
      <c r="J3" s="9">
        <f t="shared" ref="J3:J4" si="0">SUM(B3:I3)</f>
        <v>0</v>
      </c>
    </row>
    <row r="4" spans="1:11" ht="21.75" customHeight="1">
      <c r="A4" s="7" t="s">
        <v>2</v>
      </c>
      <c r="B4" s="7" t="s">
        <v>59</v>
      </c>
      <c r="C4" s="7" t="s">
        <v>3</v>
      </c>
      <c r="D4" s="7" t="s">
        <v>4</v>
      </c>
      <c r="E4" s="7" t="s">
        <v>5</v>
      </c>
      <c r="F4" s="7" t="s">
        <v>6</v>
      </c>
      <c r="G4" s="7" t="s">
        <v>7</v>
      </c>
      <c r="H4" s="7" t="s">
        <v>8</v>
      </c>
      <c r="I4" s="7" t="s">
        <v>9</v>
      </c>
      <c r="J4" s="7">
        <f t="shared" si="0"/>
        <v>0</v>
      </c>
      <c r="K4" s="7" t="s">
        <v>10</v>
      </c>
    </row>
    <row r="5" spans="1:11" ht="18" customHeight="1">
      <c r="A5" s="14" t="s">
        <v>11</v>
      </c>
      <c r="B5" s="14"/>
      <c r="C5" s="14"/>
      <c r="D5" s="14"/>
      <c r="E5" s="14"/>
      <c r="F5" s="14"/>
      <c r="G5" s="14"/>
      <c r="H5" s="14"/>
      <c r="I5" s="14"/>
      <c r="J5" s="14"/>
      <c r="K5" s="14"/>
    </row>
    <row r="6" spans="1:11" ht="15.75" customHeight="1">
      <c r="A6" s="10" t="s">
        <v>12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3">
        <f t="shared" ref="J6:J7" si="1">SUM(B6:I6)</f>
        <v>0</v>
      </c>
      <c r="K6" s="4">
        <v>0.5</v>
      </c>
    </row>
    <row r="7" spans="1:11" ht="15.75" customHeight="1">
      <c r="A7" s="10" t="s">
        <v>13</v>
      </c>
      <c r="B7" s="2">
        <v>0</v>
      </c>
      <c r="C7" s="2">
        <v>45.73</v>
      </c>
      <c r="D7" s="2">
        <v>98.77</v>
      </c>
      <c r="E7" s="2">
        <v>45.05</v>
      </c>
      <c r="F7" s="2">
        <v>104.21</v>
      </c>
      <c r="G7" s="2">
        <v>28.05</v>
      </c>
      <c r="H7" s="2">
        <v>101.32</v>
      </c>
      <c r="I7" s="2">
        <v>59.16</v>
      </c>
      <c r="J7" s="3">
        <f t="shared" si="1"/>
        <v>482.28999999999996</v>
      </c>
      <c r="K7" s="4">
        <v>2</v>
      </c>
    </row>
    <row r="8" spans="1:11" ht="15.75" customHeight="1">
      <c r="A8" s="10" t="s">
        <v>14</v>
      </c>
      <c r="B8" s="2">
        <v>170</v>
      </c>
      <c r="C8" s="2">
        <v>0</v>
      </c>
      <c r="D8" s="2">
        <v>0</v>
      </c>
      <c r="E8" s="2">
        <v>80</v>
      </c>
      <c r="F8" s="2">
        <v>120</v>
      </c>
      <c r="G8" s="2">
        <v>35</v>
      </c>
      <c r="H8" s="2">
        <v>120</v>
      </c>
      <c r="I8" s="2">
        <v>40</v>
      </c>
      <c r="J8" s="3">
        <f>SUM(B8:I8)</f>
        <v>565</v>
      </c>
      <c r="K8" s="4">
        <v>3</v>
      </c>
    </row>
    <row r="9" spans="1:11" ht="15.75" customHeight="1">
      <c r="A9" s="17" t="s">
        <v>15</v>
      </c>
      <c r="B9" s="6">
        <v>0</v>
      </c>
      <c r="C9" s="6">
        <v>0</v>
      </c>
      <c r="D9" s="6">
        <v>0</v>
      </c>
      <c r="E9" s="6">
        <v>80</v>
      </c>
      <c r="F9" s="6">
        <v>100</v>
      </c>
      <c r="G9" s="6">
        <v>25</v>
      </c>
      <c r="H9" s="6">
        <v>90</v>
      </c>
      <c r="I9" s="6">
        <v>30</v>
      </c>
      <c r="J9" s="5">
        <f t="shared" ref="J9:J11" si="2">SUM(B9:I9)</f>
        <v>325</v>
      </c>
      <c r="K9" s="6">
        <v>2</v>
      </c>
    </row>
    <row r="10" spans="1:11" ht="15.75" customHeight="1">
      <c r="A10" s="11" t="s">
        <v>16</v>
      </c>
      <c r="B10" s="6">
        <v>0</v>
      </c>
      <c r="C10" s="6">
        <v>0</v>
      </c>
      <c r="D10" s="6">
        <v>0</v>
      </c>
      <c r="E10" s="6">
        <v>90</v>
      </c>
      <c r="F10" s="6">
        <v>80</v>
      </c>
      <c r="G10" s="6">
        <v>35</v>
      </c>
      <c r="H10" s="6">
        <v>90</v>
      </c>
      <c r="I10" s="6">
        <v>30</v>
      </c>
      <c r="J10" s="5">
        <f t="shared" si="2"/>
        <v>325</v>
      </c>
      <c r="K10" s="6">
        <v>2</v>
      </c>
    </row>
    <row r="11" spans="1:11" ht="15.75" customHeight="1">
      <c r="A11" s="11" t="s">
        <v>17</v>
      </c>
      <c r="B11" s="6">
        <v>0</v>
      </c>
      <c r="C11" s="6">
        <v>0</v>
      </c>
      <c r="D11" s="6">
        <v>0</v>
      </c>
      <c r="E11" s="6">
        <v>50</v>
      </c>
      <c r="F11" s="6">
        <v>60</v>
      </c>
      <c r="G11" s="6">
        <v>20</v>
      </c>
      <c r="H11" s="6">
        <v>50</v>
      </c>
      <c r="I11" s="6">
        <v>25</v>
      </c>
      <c r="J11" s="5">
        <f t="shared" si="2"/>
        <v>205</v>
      </c>
      <c r="K11" s="6">
        <v>1</v>
      </c>
    </row>
    <row r="12" spans="1:11" ht="18" customHeight="1">
      <c r="A12" s="14" t="s">
        <v>18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</row>
    <row r="13" spans="1:11" ht="15.75" customHeight="1">
      <c r="A13" s="11" t="s">
        <v>19</v>
      </c>
      <c r="B13" s="6">
        <v>0</v>
      </c>
      <c r="C13" s="6">
        <v>0</v>
      </c>
      <c r="D13" s="6">
        <v>0</v>
      </c>
      <c r="E13" s="6">
        <v>60</v>
      </c>
      <c r="F13" s="6">
        <v>80</v>
      </c>
      <c r="G13" s="6">
        <v>20</v>
      </c>
      <c r="H13" s="6">
        <v>70</v>
      </c>
      <c r="I13" s="6">
        <v>30</v>
      </c>
      <c r="J13" s="5">
        <f t="shared" ref="J13:J16" si="3">SUM(B13:I13)</f>
        <v>260</v>
      </c>
      <c r="K13" s="6">
        <v>2</v>
      </c>
    </row>
    <row r="14" spans="1:11" ht="15.75" customHeight="1">
      <c r="A14" s="11" t="s">
        <v>20</v>
      </c>
      <c r="B14" s="6">
        <v>0</v>
      </c>
      <c r="C14" s="6">
        <v>0</v>
      </c>
      <c r="D14" s="6">
        <v>0</v>
      </c>
      <c r="E14" s="6">
        <v>80</v>
      </c>
      <c r="F14" s="6">
        <v>110</v>
      </c>
      <c r="G14" s="6">
        <v>25</v>
      </c>
      <c r="H14" s="6">
        <v>80</v>
      </c>
      <c r="I14" s="6">
        <v>30</v>
      </c>
      <c r="J14" s="5">
        <f t="shared" si="3"/>
        <v>325</v>
      </c>
      <c r="K14" s="6">
        <v>2.5</v>
      </c>
    </row>
    <row r="15" spans="1:11" ht="15.75" customHeight="1">
      <c r="A15" s="11" t="s">
        <v>21</v>
      </c>
      <c r="B15" s="6">
        <v>0</v>
      </c>
      <c r="C15" s="6">
        <v>0</v>
      </c>
      <c r="D15" s="6">
        <v>0</v>
      </c>
      <c r="E15" s="6">
        <v>75</v>
      </c>
      <c r="F15" s="6">
        <v>95</v>
      </c>
      <c r="G15" s="6">
        <v>25</v>
      </c>
      <c r="H15" s="6">
        <v>70</v>
      </c>
      <c r="I15" s="6">
        <v>30</v>
      </c>
      <c r="J15" s="5">
        <f t="shared" si="3"/>
        <v>295</v>
      </c>
      <c r="K15" s="6">
        <v>2</v>
      </c>
    </row>
    <row r="16" spans="1:11" ht="15.75" customHeight="1">
      <c r="A16" s="11" t="s">
        <v>22</v>
      </c>
      <c r="B16" s="6">
        <v>0</v>
      </c>
      <c r="C16" s="6">
        <v>0</v>
      </c>
      <c r="D16" s="6">
        <v>0</v>
      </c>
      <c r="E16" s="6">
        <v>70</v>
      </c>
      <c r="F16" s="6">
        <v>90</v>
      </c>
      <c r="G16" s="6">
        <v>25</v>
      </c>
      <c r="H16" s="6">
        <v>80</v>
      </c>
      <c r="I16" s="6">
        <v>30</v>
      </c>
      <c r="J16" s="5">
        <f t="shared" si="3"/>
        <v>295</v>
      </c>
      <c r="K16" s="6">
        <v>2</v>
      </c>
    </row>
    <row r="17" spans="1:11" ht="18" customHeight="1">
      <c r="A17" s="14" t="s">
        <v>23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</row>
    <row r="18" spans="1:11" ht="15.75" customHeight="1">
      <c r="A18" s="11" t="s">
        <v>24</v>
      </c>
      <c r="B18" s="6">
        <v>0</v>
      </c>
      <c r="C18" s="6">
        <v>0</v>
      </c>
      <c r="D18" s="6">
        <v>0</v>
      </c>
      <c r="E18" s="6">
        <v>110</v>
      </c>
      <c r="F18" s="6">
        <v>140</v>
      </c>
      <c r="G18" s="6">
        <v>45</v>
      </c>
      <c r="H18" s="6">
        <v>160</v>
      </c>
      <c r="I18" s="6">
        <v>40</v>
      </c>
      <c r="J18" s="5">
        <f t="shared" ref="J18:J19" si="4">SUM(B18:I18)</f>
        <v>495</v>
      </c>
      <c r="K18" s="6">
        <v>3.5</v>
      </c>
    </row>
    <row r="19" spans="1:11" ht="15.75" customHeight="1">
      <c r="A19" s="11" t="s">
        <v>25</v>
      </c>
      <c r="B19" s="6">
        <v>0</v>
      </c>
      <c r="C19" s="6">
        <v>0</v>
      </c>
      <c r="D19" s="6">
        <v>0</v>
      </c>
      <c r="E19" s="6">
        <v>80</v>
      </c>
      <c r="F19" s="6">
        <v>100</v>
      </c>
      <c r="G19" s="6">
        <v>30</v>
      </c>
      <c r="H19" s="6">
        <v>100</v>
      </c>
      <c r="I19" s="6">
        <v>30</v>
      </c>
      <c r="J19" s="5">
        <f t="shared" si="4"/>
        <v>340</v>
      </c>
      <c r="K19" s="6">
        <v>2</v>
      </c>
    </row>
    <row r="20" spans="1:11" ht="18" customHeight="1">
      <c r="A20" s="14" t="s">
        <v>26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</row>
    <row r="21" spans="1:11" ht="15.75" customHeight="1">
      <c r="A21" s="11" t="s">
        <v>27</v>
      </c>
      <c r="B21" s="6">
        <v>0</v>
      </c>
      <c r="C21" s="6">
        <v>0</v>
      </c>
      <c r="D21" s="6">
        <v>0</v>
      </c>
      <c r="E21" s="6">
        <v>100</v>
      </c>
      <c r="F21" s="6">
        <v>120</v>
      </c>
      <c r="G21" s="6">
        <v>35</v>
      </c>
      <c r="H21" s="6">
        <v>120</v>
      </c>
      <c r="I21" s="6">
        <v>35</v>
      </c>
      <c r="J21" s="5">
        <f t="shared" ref="J21:J24" si="5">SUM(B21:I21)</f>
        <v>410</v>
      </c>
      <c r="K21" s="6">
        <v>3</v>
      </c>
    </row>
    <row r="22" spans="1:11" ht="15.75" customHeight="1">
      <c r="A22" s="11" t="s">
        <v>28</v>
      </c>
      <c r="B22" s="6">
        <v>0</v>
      </c>
      <c r="C22" s="6">
        <v>0</v>
      </c>
      <c r="D22" s="6">
        <v>0</v>
      </c>
      <c r="E22" s="6">
        <v>80</v>
      </c>
      <c r="F22" s="6">
        <v>100</v>
      </c>
      <c r="G22" s="6">
        <v>30</v>
      </c>
      <c r="H22" s="6">
        <v>100</v>
      </c>
      <c r="I22" s="6">
        <v>30</v>
      </c>
      <c r="J22" s="5">
        <f t="shared" si="5"/>
        <v>340</v>
      </c>
      <c r="K22" s="6">
        <v>2</v>
      </c>
    </row>
    <row r="23" spans="1:11" ht="15.75" customHeight="1">
      <c r="A23" s="11" t="s">
        <v>29</v>
      </c>
      <c r="B23" s="6">
        <v>0</v>
      </c>
      <c r="C23" s="6">
        <v>0</v>
      </c>
      <c r="D23" s="6">
        <v>0</v>
      </c>
      <c r="E23" s="6">
        <v>90</v>
      </c>
      <c r="F23" s="6">
        <v>120</v>
      </c>
      <c r="G23" s="6">
        <v>35</v>
      </c>
      <c r="H23" s="6">
        <v>120</v>
      </c>
      <c r="I23" s="6">
        <v>35</v>
      </c>
      <c r="J23" s="5">
        <f t="shared" si="5"/>
        <v>400</v>
      </c>
      <c r="K23" s="6">
        <v>2.5</v>
      </c>
    </row>
    <row r="24" spans="1:11" ht="15.75" customHeight="1">
      <c r="A24" s="11" t="s">
        <v>30</v>
      </c>
      <c r="B24" s="6">
        <v>0</v>
      </c>
      <c r="C24" s="6">
        <v>0</v>
      </c>
      <c r="D24" s="6">
        <v>0</v>
      </c>
      <c r="E24" s="6">
        <v>70</v>
      </c>
      <c r="F24" s="6">
        <v>90</v>
      </c>
      <c r="G24" s="6">
        <v>25</v>
      </c>
      <c r="H24" s="6">
        <v>90</v>
      </c>
      <c r="I24" s="6">
        <v>30</v>
      </c>
      <c r="J24" s="5">
        <f t="shared" si="5"/>
        <v>305</v>
      </c>
      <c r="K24" s="6">
        <v>2</v>
      </c>
    </row>
    <row r="25" spans="1:11" ht="18" customHeight="1">
      <c r="A25" s="14" t="s">
        <v>31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</row>
    <row r="26" spans="1:11" ht="15.75" customHeight="1">
      <c r="A26" s="11" t="s">
        <v>32</v>
      </c>
      <c r="B26" s="6">
        <v>0</v>
      </c>
      <c r="C26" s="6">
        <v>0</v>
      </c>
      <c r="D26" s="6">
        <v>0</v>
      </c>
      <c r="E26" s="6">
        <v>80</v>
      </c>
      <c r="F26" s="6">
        <v>100</v>
      </c>
      <c r="G26" s="6">
        <v>30</v>
      </c>
      <c r="H26" s="6">
        <v>110</v>
      </c>
      <c r="I26" s="6">
        <v>30</v>
      </c>
      <c r="J26" s="5">
        <f t="shared" ref="J26:J29" si="6">SUM(B26:I26)</f>
        <v>350</v>
      </c>
      <c r="K26" s="6">
        <v>2</v>
      </c>
    </row>
    <row r="27" spans="1:11" ht="15.75" customHeight="1">
      <c r="A27" s="11" t="s">
        <v>33</v>
      </c>
      <c r="B27" s="6">
        <v>0</v>
      </c>
      <c r="C27" s="6">
        <v>0</v>
      </c>
      <c r="D27" s="6">
        <v>0</v>
      </c>
      <c r="E27" s="6">
        <v>110</v>
      </c>
      <c r="F27" s="6">
        <v>140</v>
      </c>
      <c r="G27" s="6">
        <v>35</v>
      </c>
      <c r="H27" s="6">
        <v>150</v>
      </c>
      <c r="I27" s="6">
        <v>35</v>
      </c>
      <c r="J27" s="5">
        <f t="shared" si="6"/>
        <v>470</v>
      </c>
      <c r="K27" s="6">
        <v>3</v>
      </c>
    </row>
    <row r="28" spans="1:11" ht="15.75" customHeight="1">
      <c r="A28" s="11" t="s">
        <v>34</v>
      </c>
      <c r="B28" s="6">
        <v>0</v>
      </c>
      <c r="C28" s="6">
        <v>0</v>
      </c>
      <c r="D28" s="6">
        <v>0</v>
      </c>
      <c r="E28" s="6">
        <v>70</v>
      </c>
      <c r="F28" s="6">
        <v>90</v>
      </c>
      <c r="G28" s="6">
        <v>25</v>
      </c>
      <c r="H28" s="6">
        <v>90</v>
      </c>
      <c r="I28" s="6">
        <v>30</v>
      </c>
      <c r="J28" s="5">
        <f t="shared" si="6"/>
        <v>305</v>
      </c>
      <c r="K28" s="6">
        <v>1.5</v>
      </c>
    </row>
    <row r="29" spans="1:11" ht="15.75" customHeight="1">
      <c r="A29" s="11" t="s">
        <v>35</v>
      </c>
      <c r="B29" s="6">
        <v>0</v>
      </c>
      <c r="C29" s="6">
        <v>0</v>
      </c>
      <c r="D29" s="6">
        <v>0</v>
      </c>
      <c r="E29" s="6">
        <v>80</v>
      </c>
      <c r="F29" s="6">
        <v>100</v>
      </c>
      <c r="G29" s="6">
        <v>30</v>
      </c>
      <c r="H29" s="6">
        <v>100</v>
      </c>
      <c r="I29" s="6">
        <v>30</v>
      </c>
      <c r="J29" s="5">
        <f t="shared" si="6"/>
        <v>340</v>
      </c>
      <c r="K29" s="6">
        <v>1.5</v>
      </c>
    </row>
    <row r="30" spans="1:11" ht="18" customHeight="1">
      <c r="A30" s="14" t="s">
        <v>36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</row>
    <row r="31" spans="1:11" ht="15.75" customHeight="1">
      <c r="A31" s="11" t="s">
        <v>37</v>
      </c>
      <c r="B31" s="6">
        <v>0</v>
      </c>
      <c r="C31" s="6">
        <v>0</v>
      </c>
      <c r="D31" s="6">
        <v>0</v>
      </c>
      <c r="E31" s="6">
        <v>140</v>
      </c>
      <c r="F31" s="6">
        <v>170</v>
      </c>
      <c r="G31" s="6">
        <v>55</v>
      </c>
      <c r="H31" s="6">
        <v>170</v>
      </c>
      <c r="I31" s="6">
        <v>55</v>
      </c>
      <c r="J31" s="5">
        <f t="shared" ref="J31" si="7">SUM(B31:I31)</f>
        <v>590</v>
      </c>
      <c r="K31" s="6">
        <v>5</v>
      </c>
    </row>
    <row r="32" spans="1:11" ht="18" customHeight="1">
      <c r="A32" s="14" t="s">
        <v>38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</row>
    <row r="33" spans="1:11" ht="15.75" customHeight="1">
      <c r="A33" s="11" t="s">
        <v>39</v>
      </c>
      <c r="B33" s="6">
        <v>0</v>
      </c>
      <c r="C33" s="6">
        <v>0</v>
      </c>
      <c r="D33" s="6">
        <v>0</v>
      </c>
      <c r="E33" s="6">
        <v>90</v>
      </c>
      <c r="F33" s="6">
        <v>110</v>
      </c>
      <c r="G33" s="6">
        <v>30</v>
      </c>
      <c r="H33" s="6">
        <v>100</v>
      </c>
      <c r="I33" s="6">
        <v>30</v>
      </c>
      <c r="J33" s="5">
        <f t="shared" ref="J33:J35" si="8">SUM(B33:I33)</f>
        <v>360</v>
      </c>
      <c r="K33" s="6">
        <v>2</v>
      </c>
    </row>
    <row r="34" spans="1:11" ht="15.75" customHeight="1">
      <c r="A34" s="11" t="s">
        <v>40</v>
      </c>
      <c r="B34" s="6">
        <v>0</v>
      </c>
      <c r="C34" s="6">
        <v>0</v>
      </c>
      <c r="D34" s="6">
        <v>0</v>
      </c>
      <c r="E34" s="6">
        <v>80</v>
      </c>
      <c r="F34" s="6">
        <v>100</v>
      </c>
      <c r="G34" s="6">
        <v>25</v>
      </c>
      <c r="H34" s="6">
        <v>90</v>
      </c>
      <c r="I34" s="6">
        <v>30</v>
      </c>
      <c r="J34" s="5">
        <f t="shared" si="8"/>
        <v>325</v>
      </c>
      <c r="K34" s="6">
        <v>1.5</v>
      </c>
    </row>
    <row r="35" spans="1:11" ht="15.75" customHeight="1">
      <c r="A35" s="11" t="s">
        <v>41</v>
      </c>
      <c r="B35" s="6">
        <v>0</v>
      </c>
      <c r="C35" s="6">
        <v>0</v>
      </c>
      <c r="D35" s="6">
        <v>0</v>
      </c>
      <c r="E35" s="6">
        <v>80</v>
      </c>
      <c r="F35" s="6">
        <v>100</v>
      </c>
      <c r="G35" s="6">
        <v>25</v>
      </c>
      <c r="H35" s="6">
        <v>90</v>
      </c>
      <c r="I35" s="6">
        <v>30</v>
      </c>
      <c r="J35" s="5">
        <f t="shared" si="8"/>
        <v>325</v>
      </c>
      <c r="K35" s="6">
        <v>1.5</v>
      </c>
    </row>
    <row r="36" spans="1:11" ht="18" customHeight="1">
      <c r="A36" s="14" t="s">
        <v>42</v>
      </c>
      <c r="B36" s="14"/>
      <c r="C36" s="14"/>
      <c r="D36" s="14"/>
      <c r="E36" s="14"/>
      <c r="F36" s="14"/>
      <c r="G36" s="14"/>
      <c r="H36" s="14"/>
      <c r="I36" s="14"/>
      <c r="J36" s="14"/>
      <c r="K36" s="14"/>
    </row>
    <row r="37" spans="1:11" ht="15.75" customHeight="1">
      <c r="A37" s="11" t="s">
        <v>43</v>
      </c>
      <c r="B37" s="6">
        <v>0</v>
      </c>
      <c r="C37" s="6">
        <v>0</v>
      </c>
      <c r="D37" s="6">
        <v>0</v>
      </c>
      <c r="E37" s="6">
        <v>60</v>
      </c>
      <c r="F37" s="6">
        <v>80</v>
      </c>
      <c r="G37" s="6">
        <v>20</v>
      </c>
      <c r="H37" s="6">
        <v>70</v>
      </c>
      <c r="I37" s="6">
        <v>25</v>
      </c>
      <c r="J37" s="5">
        <f t="shared" ref="J37:J39" si="9">SUM(B37:I37)</f>
        <v>255</v>
      </c>
      <c r="K37" s="6">
        <v>1.5</v>
      </c>
    </row>
    <row r="38" spans="1:11" ht="15.75" customHeight="1">
      <c r="A38" s="11" t="s">
        <v>44</v>
      </c>
      <c r="B38" s="6">
        <v>0</v>
      </c>
      <c r="C38" s="6">
        <v>0</v>
      </c>
      <c r="D38" s="6">
        <v>0</v>
      </c>
      <c r="E38" s="6">
        <v>60</v>
      </c>
      <c r="F38" s="6">
        <v>70</v>
      </c>
      <c r="G38" s="6">
        <v>20</v>
      </c>
      <c r="H38" s="6">
        <v>60</v>
      </c>
      <c r="I38" s="6">
        <v>20</v>
      </c>
      <c r="J38" s="5">
        <f t="shared" si="9"/>
        <v>230</v>
      </c>
      <c r="K38" s="6">
        <v>1</v>
      </c>
    </row>
    <row r="39" spans="1:11" ht="15.75" customHeight="1">
      <c r="A39" s="11" t="s">
        <v>45</v>
      </c>
      <c r="B39" s="6">
        <v>0</v>
      </c>
      <c r="C39" s="6">
        <v>0</v>
      </c>
      <c r="D39" s="6">
        <v>0</v>
      </c>
      <c r="E39" s="6">
        <v>60</v>
      </c>
      <c r="F39" s="6">
        <v>70</v>
      </c>
      <c r="G39" s="6">
        <v>20</v>
      </c>
      <c r="H39" s="6">
        <v>60</v>
      </c>
      <c r="I39" s="6">
        <v>20</v>
      </c>
      <c r="J39" s="5">
        <f t="shared" si="9"/>
        <v>230</v>
      </c>
      <c r="K39" s="6">
        <v>1</v>
      </c>
    </row>
    <row r="40" spans="1:11" ht="18" customHeight="1">
      <c r="A40" s="14" t="s">
        <v>46</v>
      </c>
      <c r="B40" s="14"/>
      <c r="C40" s="14"/>
      <c r="D40" s="14"/>
      <c r="E40" s="14"/>
      <c r="F40" s="14"/>
      <c r="G40" s="14"/>
      <c r="H40" s="14"/>
      <c r="I40" s="14"/>
      <c r="J40" s="14"/>
      <c r="K40" s="14"/>
    </row>
    <row r="41" spans="1:11" ht="15.75" customHeight="1">
      <c r="A41" s="11" t="s">
        <v>47</v>
      </c>
      <c r="B41" s="6">
        <v>0</v>
      </c>
      <c r="C41" s="6">
        <v>0</v>
      </c>
      <c r="D41" s="6">
        <v>0</v>
      </c>
      <c r="E41" s="6">
        <v>80</v>
      </c>
      <c r="F41" s="6">
        <v>100</v>
      </c>
      <c r="G41" s="6">
        <v>30</v>
      </c>
      <c r="H41" s="6">
        <v>90</v>
      </c>
      <c r="I41" s="6">
        <v>30</v>
      </c>
      <c r="J41" s="5">
        <f t="shared" ref="J41:J44" si="10">SUM(B41:I41)</f>
        <v>330</v>
      </c>
      <c r="K41" s="6">
        <v>2</v>
      </c>
    </row>
    <row r="42" spans="1:11" ht="15.75" customHeight="1">
      <c r="A42" s="11" t="s">
        <v>48</v>
      </c>
      <c r="B42" s="6">
        <v>0</v>
      </c>
      <c r="C42" s="6">
        <v>0</v>
      </c>
      <c r="D42" s="6">
        <v>0</v>
      </c>
      <c r="E42" s="6">
        <v>60</v>
      </c>
      <c r="F42" s="6">
        <v>80</v>
      </c>
      <c r="G42" s="6">
        <v>20</v>
      </c>
      <c r="H42" s="6">
        <v>70</v>
      </c>
      <c r="I42" s="6">
        <v>25</v>
      </c>
      <c r="J42" s="5">
        <f t="shared" si="10"/>
        <v>255</v>
      </c>
      <c r="K42" s="6">
        <v>1.5</v>
      </c>
    </row>
    <row r="43" spans="1:11" ht="15.75" customHeight="1">
      <c r="A43" s="11" t="s">
        <v>49</v>
      </c>
      <c r="B43" s="6">
        <v>0</v>
      </c>
      <c r="C43" s="6">
        <v>0</v>
      </c>
      <c r="D43" s="6">
        <v>0</v>
      </c>
      <c r="E43" s="6">
        <v>50</v>
      </c>
      <c r="F43" s="6">
        <v>70</v>
      </c>
      <c r="G43" s="6">
        <v>20</v>
      </c>
      <c r="H43" s="6">
        <v>60</v>
      </c>
      <c r="I43" s="6">
        <v>20</v>
      </c>
      <c r="J43" s="5">
        <f t="shared" si="10"/>
        <v>220</v>
      </c>
      <c r="K43" s="6">
        <v>1</v>
      </c>
    </row>
    <row r="44" spans="1:11" ht="15.75" customHeight="1">
      <c r="A44" s="11" t="s">
        <v>50</v>
      </c>
      <c r="B44" s="6">
        <v>0</v>
      </c>
      <c r="C44" s="6">
        <v>0</v>
      </c>
      <c r="D44" s="6">
        <v>0</v>
      </c>
      <c r="E44" s="6">
        <v>70</v>
      </c>
      <c r="F44" s="6">
        <v>90</v>
      </c>
      <c r="G44" s="6">
        <v>25</v>
      </c>
      <c r="H44" s="6">
        <v>80</v>
      </c>
      <c r="I44" s="6">
        <v>25</v>
      </c>
      <c r="J44" s="5">
        <f t="shared" si="10"/>
        <v>290</v>
      </c>
      <c r="K44" s="6">
        <v>1.5</v>
      </c>
    </row>
    <row r="45" spans="1:11" ht="18" customHeight="1">
      <c r="A45" s="14" t="s">
        <v>51</v>
      </c>
      <c r="B45" s="14"/>
      <c r="C45" s="14"/>
      <c r="D45" s="14"/>
      <c r="E45" s="14"/>
      <c r="F45" s="14"/>
      <c r="G45" s="14"/>
      <c r="H45" s="14"/>
      <c r="I45" s="14"/>
      <c r="J45" s="14"/>
      <c r="K45" s="14"/>
    </row>
    <row r="46" spans="1:11" ht="15.75" customHeight="1">
      <c r="A46" s="11" t="s">
        <v>52</v>
      </c>
      <c r="B46" s="6">
        <v>0</v>
      </c>
      <c r="C46" s="6">
        <v>0</v>
      </c>
      <c r="D46" s="6">
        <v>0</v>
      </c>
      <c r="E46" s="6">
        <v>0</v>
      </c>
      <c r="F46" s="6">
        <v>0</v>
      </c>
      <c r="G46" s="6">
        <v>80</v>
      </c>
      <c r="H46" s="6">
        <v>160</v>
      </c>
      <c r="I46" s="6">
        <v>40</v>
      </c>
      <c r="J46" s="5">
        <f t="shared" ref="J46:J51" si="11">SUM(B46:I46)</f>
        <v>280</v>
      </c>
      <c r="K46" s="6">
        <v>3</v>
      </c>
    </row>
    <row r="47" spans="1:11" ht="15.75" customHeight="1">
      <c r="A47" s="11" t="s">
        <v>53</v>
      </c>
      <c r="B47" s="6">
        <v>0</v>
      </c>
      <c r="C47" s="6">
        <v>0</v>
      </c>
      <c r="D47" s="6">
        <v>0</v>
      </c>
      <c r="E47" s="6">
        <v>50</v>
      </c>
      <c r="F47" s="6">
        <v>60</v>
      </c>
      <c r="G47" s="6">
        <v>0</v>
      </c>
      <c r="H47" s="6">
        <v>0</v>
      </c>
      <c r="I47" s="6">
        <v>0</v>
      </c>
      <c r="J47" s="5">
        <f t="shared" si="11"/>
        <v>110</v>
      </c>
      <c r="K47" s="6">
        <v>1.5</v>
      </c>
    </row>
    <row r="48" spans="1:11" ht="15.75" customHeight="1">
      <c r="A48" s="11" t="s">
        <v>54</v>
      </c>
      <c r="B48" s="6">
        <v>0</v>
      </c>
      <c r="C48" s="6">
        <v>0</v>
      </c>
      <c r="D48" s="6">
        <v>0</v>
      </c>
      <c r="E48" s="6">
        <v>40</v>
      </c>
      <c r="F48" s="6">
        <v>60</v>
      </c>
      <c r="G48" s="6">
        <v>20</v>
      </c>
      <c r="H48" s="6">
        <v>40</v>
      </c>
      <c r="I48" s="6">
        <v>20</v>
      </c>
      <c r="J48" s="5">
        <f t="shared" si="11"/>
        <v>180</v>
      </c>
      <c r="K48" s="6">
        <v>1</v>
      </c>
    </row>
    <row r="49" spans="1:11" ht="7.5" customHeight="1">
      <c r="J49" s="9">
        <f t="shared" si="11"/>
        <v>0</v>
      </c>
    </row>
    <row r="50" spans="1:11" ht="21.75" customHeight="1">
      <c r="A50" s="12" t="s">
        <v>55</v>
      </c>
      <c r="B50" s="7">
        <f t="shared" ref="B50" si="12">B6+B7+B8+B9+B10+B11+B13+B14+B15+B16+B18+B19+B21+B22+B23+B24+B26+B27+B28+B29+B31+B33+B34+B35+B37+B38+B39+B41+B42+B43+B44+B46+B47+B48</f>
        <v>170</v>
      </c>
      <c r="C50" s="7">
        <f t="shared" ref="C50:I50" si="13">C6+C7+C8+C9+C10+C11+C13+C14+C15+C16+C18+C19+C21+C22+C23+C24+C26+C27+C28+C29+C31+C33+C34+C35+C37+C38+C39+C41+C42+C43+C44+C46+C47+C48</f>
        <v>45.73</v>
      </c>
      <c r="D50" s="7">
        <f t="shared" si="13"/>
        <v>98.77</v>
      </c>
      <c r="E50" s="7">
        <f t="shared" si="13"/>
        <v>2420.0500000000002</v>
      </c>
      <c r="F50" s="7">
        <f t="shared" si="13"/>
        <v>3099.21</v>
      </c>
      <c r="G50" s="7">
        <f t="shared" si="13"/>
        <v>948.05</v>
      </c>
      <c r="H50" s="7">
        <f t="shared" si="13"/>
        <v>3031.3199999999997</v>
      </c>
      <c r="I50" s="7">
        <f t="shared" si="13"/>
        <v>999.16</v>
      </c>
      <c r="J50" s="8">
        <f t="shared" si="11"/>
        <v>10812.29</v>
      </c>
      <c r="K50" s="7">
        <f>K6+ K7+ K8+ K9+ K10+ K11+ K13+ K14+ K15+ K16+ K18+ K19+ K21+ K22+ K23+ K24+ K26+ K27+ K28+ K29+ K31+ K33+ K34+ K35+ K37+ K38+ K39+ K41+ K42+ K43+ K44+ K46+ K47+ K48</f>
        <v>67</v>
      </c>
    </row>
    <row r="52" spans="1:11" ht="15" customHeight="1">
      <c r="A52" s="13" t="s">
        <v>56</v>
      </c>
      <c r="B52" s="13"/>
      <c r="C52" s="13"/>
      <c r="D52" s="13"/>
      <c r="E52" s="13"/>
      <c r="F52" s="13"/>
      <c r="G52" s="13"/>
      <c r="H52" s="13"/>
      <c r="I52" s="13"/>
      <c r="J52" s="13"/>
      <c r="K52" s="13"/>
    </row>
    <row r="53" spans="1:11" ht="15" customHeight="1">
      <c r="A53" s="13" t="s">
        <v>57</v>
      </c>
      <c r="B53" s="13"/>
      <c r="C53" s="13"/>
      <c r="D53" s="13"/>
      <c r="E53" s="13"/>
      <c r="F53" s="13"/>
      <c r="G53" s="13"/>
      <c r="H53" s="13"/>
      <c r="I53" s="13"/>
      <c r="J53" s="13"/>
      <c r="K53" s="13"/>
    </row>
    <row r="54" spans="1:11" ht="15" customHeight="1">
      <c r="A54" s="15" t="s">
        <v>58</v>
      </c>
      <c r="B54" s="15"/>
      <c r="C54" s="15"/>
      <c r="D54" s="15"/>
      <c r="E54" s="15"/>
      <c r="F54" s="15"/>
      <c r="G54" s="15"/>
      <c r="H54" s="15"/>
      <c r="I54" s="15"/>
      <c r="J54" s="15"/>
      <c r="K54" s="15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D105"/>
  <sheetViews>
    <sheetView topLeftCell="A16" workbookViewId="0">
      <selection activeCell="L9" sqref="L9"/>
    </sheetView>
  </sheetViews>
  <sheetFormatPr defaultRowHeight="15"/>
  <sheetData>
    <row r="1" spans="1:3">
      <c r="A1" s="16" t="s">
        <v>60</v>
      </c>
    </row>
    <row r="3" spans="1:3">
      <c r="B3" s="16" t="s">
        <v>61</v>
      </c>
    </row>
    <row r="4" spans="1:3">
      <c r="C4" s="16" t="s">
        <v>62</v>
      </c>
    </row>
    <row r="5" spans="1:3">
      <c r="C5" s="16" t="s">
        <v>63</v>
      </c>
    </row>
    <row r="7" spans="1:3">
      <c r="B7" s="16" t="s">
        <v>64</v>
      </c>
    </row>
    <row r="9" spans="1:3">
      <c r="B9" s="16" t="s">
        <v>65</v>
      </c>
    </row>
    <row r="10" spans="1:3">
      <c r="C10" s="16" t="s">
        <v>66</v>
      </c>
    </row>
    <row r="11" spans="1:3">
      <c r="C11" s="16" t="s">
        <v>67</v>
      </c>
    </row>
    <row r="12" spans="1:3">
      <c r="C12" s="16" t="s">
        <v>68</v>
      </c>
    </row>
    <row r="13" spans="1:3">
      <c r="C13" s="16" t="s">
        <v>69</v>
      </c>
    </row>
    <row r="14" spans="1:3">
      <c r="C14" s="16" t="s">
        <v>70</v>
      </c>
    </row>
    <row r="15" spans="1:3">
      <c r="C15" s="16" t="s">
        <v>71</v>
      </c>
    </row>
    <row r="16" spans="1:3">
      <c r="C16" s="16" t="s">
        <v>72</v>
      </c>
    </row>
    <row r="17" spans="2:4">
      <c r="C17" s="16" t="s">
        <v>73</v>
      </c>
    </row>
    <row r="18" spans="2:4">
      <c r="C18" s="16" t="s">
        <v>74</v>
      </c>
    </row>
    <row r="19" spans="2:4">
      <c r="C19" s="16" t="s">
        <v>75</v>
      </c>
    </row>
    <row r="20" spans="2:4">
      <c r="C20" s="16" t="s">
        <v>76</v>
      </c>
    </row>
    <row r="22" spans="2:4">
      <c r="B22" s="16" t="s">
        <v>77</v>
      </c>
    </row>
    <row r="24" spans="2:4">
      <c r="C24" s="16" t="s">
        <v>78</v>
      </c>
    </row>
    <row r="25" spans="2:4">
      <c r="D25" s="16" t="s">
        <v>79</v>
      </c>
    </row>
    <row r="26" spans="2:4">
      <c r="D26" s="16" t="s">
        <v>80</v>
      </c>
    </row>
    <row r="27" spans="2:4">
      <c r="D27" s="16" t="s">
        <v>81</v>
      </c>
    </row>
    <row r="28" spans="2:4">
      <c r="D28" s="16" t="s">
        <v>82</v>
      </c>
    </row>
    <row r="29" spans="2:4">
      <c r="D29" s="16" t="s">
        <v>83</v>
      </c>
    </row>
    <row r="30" spans="2:4">
      <c r="D30" s="16" t="s">
        <v>84</v>
      </c>
    </row>
    <row r="31" spans="2:4">
      <c r="C31" s="16" t="s">
        <v>85</v>
      </c>
    </row>
    <row r="33" spans="2:3">
      <c r="B33" s="16" t="s">
        <v>86</v>
      </c>
    </row>
    <row r="34" spans="2:3">
      <c r="C34" s="16" t="s">
        <v>87</v>
      </c>
    </row>
    <row r="35" spans="2:3">
      <c r="C35" s="16" t="s">
        <v>88</v>
      </c>
    </row>
    <row r="36" spans="2:3">
      <c r="C36" s="16" t="s">
        <v>89</v>
      </c>
    </row>
    <row r="37" spans="2:3">
      <c r="C37" s="16" t="s">
        <v>90</v>
      </c>
    </row>
    <row r="38" spans="2:3">
      <c r="C38" s="16" t="s">
        <v>91</v>
      </c>
    </row>
    <row r="40" spans="2:3">
      <c r="B40" s="16" t="s">
        <v>92</v>
      </c>
    </row>
    <row r="41" spans="2:3">
      <c r="C41" s="16" t="s">
        <v>93</v>
      </c>
    </row>
    <row r="42" spans="2:3">
      <c r="C42" s="16" t="s">
        <v>94</v>
      </c>
    </row>
    <row r="44" spans="2:3">
      <c r="B44" s="16" t="s">
        <v>95</v>
      </c>
    </row>
    <row r="45" spans="2:3">
      <c r="C45" s="16" t="s">
        <v>96</v>
      </c>
    </row>
    <row r="46" spans="2:3">
      <c r="C46" s="16" t="s">
        <v>97</v>
      </c>
    </row>
    <row r="47" spans="2:3">
      <c r="C47" s="16" t="s">
        <v>98</v>
      </c>
    </row>
    <row r="48" spans="2:3">
      <c r="C48" s="16" t="s">
        <v>99</v>
      </c>
    </row>
    <row r="49" spans="3:3">
      <c r="C49" s="16" t="s">
        <v>100</v>
      </c>
    </row>
    <row r="50" spans="3:3">
      <c r="C50" s="16" t="s">
        <v>101</v>
      </c>
    </row>
    <row r="51" spans="3:3">
      <c r="C51" s="16" t="s">
        <v>102</v>
      </c>
    </row>
    <row r="52" spans="3:3">
      <c r="C52" s="16" t="s">
        <v>103</v>
      </c>
    </row>
    <row r="53" spans="3:3">
      <c r="C53" s="16" t="s">
        <v>104</v>
      </c>
    </row>
    <row r="54" spans="3:3">
      <c r="C54" s="16" t="s">
        <v>105</v>
      </c>
    </row>
    <row r="55" spans="3:3">
      <c r="C55" s="16" t="s">
        <v>106</v>
      </c>
    </row>
    <row r="56" spans="3:3">
      <c r="C56" s="16" t="s">
        <v>107</v>
      </c>
    </row>
    <row r="57" spans="3:3">
      <c r="C57" s="16" t="s">
        <v>108</v>
      </c>
    </row>
    <row r="58" spans="3:3">
      <c r="C58" s="16" t="s">
        <v>109</v>
      </c>
    </row>
    <row r="59" spans="3:3">
      <c r="C59" s="16" t="s">
        <v>110</v>
      </c>
    </row>
    <row r="60" spans="3:3">
      <c r="C60" s="16" t="s">
        <v>111</v>
      </c>
    </row>
    <row r="61" spans="3:3">
      <c r="C61" s="16" t="s">
        <v>112</v>
      </c>
    </row>
    <row r="62" spans="3:3">
      <c r="C62" s="16" t="s">
        <v>113</v>
      </c>
    </row>
    <row r="63" spans="3:3">
      <c r="C63" s="16" t="s">
        <v>114</v>
      </c>
    </row>
    <row r="64" spans="3:3">
      <c r="C64" s="16" t="s">
        <v>115</v>
      </c>
    </row>
    <row r="65" spans="2:3">
      <c r="C65" s="16" t="s">
        <v>116</v>
      </c>
    </row>
    <row r="66" spans="2:3">
      <c r="C66" s="16" t="s">
        <v>117</v>
      </c>
    </row>
    <row r="67" spans="2:3">
      <c r="C67" s="16" t="s">
        <v>118</v>
      </c>
    </row>
    <row r="68" spans="2:3">
      <c r="C68" s="16" t="s">
        <v>119</v>
      </c>
    </row>
    <row r="69" spans="2:3">
      <c r="C69" s="16" t="s">
        <v>120</v>
      </c>
    </row>
    <row r="70" spans="2:3">
      <c r="C70" s="16" t="s">
        <v>121</v>
      </c>
    </row>
    <row r="71" spans="2:3">
      <c r="C71" s="16" t="s">
        <v>122</v>
      </c>
    </row>
    <row r="72" spans="2:3">
      <c r="C72" s="16" t="s">
        <v>123</v>
      </c>
    </row>
    <row r="73" spans="2:3">
      <c r="C73" s="16" t="s">
        <v>124</v>
      </c>
    </row>
    <row r="74" spans="2:3">
      <c r="C74" s="16" t="s">
        <v>125</v>
      </c>
    </row>
    <row r="75" spans="2:3">
      <c r="C75" s="16" t="s">
        <v>126</v>
      </c>
    </row>
    <row r="76" spans="2:3">
      <c r="C76" s="16" t="s">
        <v>127</v>
      </c>
    </row>
    <row r="77" spans="2:3">
      <c r="C77" s="16" t="s">
        <v>128</v>
      </c>
    </row>
    <row r="78" spans="2:3">
      <c r="C78" s="16" t="s">
        <v>129</v>
      </c>
    </row>
    <row r="80" spans="2:3">
      <c r="B80" s="16" t="s">
        <v>130</v>
      </c>
    </row>
    <row r="81" spans="2:3">
      <c r="C81" s="16" t="s">
        <v>131</v>
      </c>
    </row>
    <row r="82" spans="2:3">
      <c r="C82" s="16" t="s">
        <v>132</v>
      </c>
    </row>
    <row r="83" spans="2:3">
      <c r="C83" s="16" t="s">
        <v>133</v>
      </c>
    </row>
    <row r="84" spans="2:3">
      <c r="C84" s="16" t="s">
        <v>134</v>
      </c>
    </row>
    <row r="85" spans="2:3">
      <c r="C85" s="16" t="s">
        <v>135</v>
      </c>
    </row>
    <row r="86" spans="2:3">
      <c r="C86" s="16" t="s">
        <v>136</v>
      </c>
    </row>
    <row r="87" spans="2:3">
      <c r="C87" s="16" t="s">
        <v>137</v>
      </c>
    </row>
    <row r="88" spans="2:3">
      <c r="C88" s="16" t="s">
        <v>138</v>
      </c>
    </row>
    <row r="89" spans="2:3">
      <c r="C89" s="16" t="s">
        <v>139</v>
      </c>
    </row>
    <row r="90" spans="2:3">
      <c r="C90" s="16" t="s">
        <v>140</v>
      </c>
    </row>
    <row r="91" spans="2:3">
      <c r="C91" s="16" t="s">
        <v>141</v>
      </c>
    </row>
    <row r="92" spans="2:3">
      <c r="C92" s="16" t="s">
        <v>142</v>
      </c>
    </row>
    <row r="93" spans="2:3">
      <c r="C93" s="16" t="s">
        <v>143</v>
      </c>
    </row>
    <row r="94" spans="2:3">
      <c r="C94" s="16" t="s">
        <v>144</v>
      </c>
    </row>
    <row r="96" spans="2:3">
      <c r="B96" s="16" t="s">
        <v>145</v>
      </c>
    </row>
    <row r="98" spans="2:4">
      <c r="C98" s="16" t="s">
        <v>146</v>
      </c>
    </row>
    <row r="99" spans="2:4">
      <c r="D99" s="16" t="s">
        <v>147</v>
      </c>
    </row>
    <row r="100" spans="2:4">
      <c r="B100" s="16" t="s">
        <v>148</v>
      </c>
    </row>
    <row r="101" spans="2:4">
      <c r="B101" s="16" t="s">
        <v>149</v>
      </c>
    </row>
    <row r="102" spans="2:4">
      <c r="B102" s="16" t="s">
        <v>150</v>
      </c>
    </row>
    <row r="103" spans="2:4">
      <c r="B103" s="16" t="s">
        <v>151</v>
      </c>
    </row>
    <row r="104" spans="2:4">
      <c r="B104" s="16" t="s">
        <v>152</v>
      </c>
    </row>
    <row r="105" spans="2:4">
      <c r="B105" s="16" t="s">
        <v>153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G987"/>
  <sheetViews>
    <sheetView topLeftCell="A28" workbookViewId="0">
      <selection activeCell="E84" sqref="A1:E84"/>
    </sheetView>
  </sheetViews>
  <sheetFormatPr defaultRowHeight="15"/>
  <sheetData>
    <row r="1" spans="1:4">
      <c r="A1" s="16" t="s">
        <v>156</v>
      </c>
    </row>
    <row r="3" spans="1:4">
      <c r="B3" s="16" t="s">
        <v>157</v>
      </c>
    </row>
    <row r="5" spans="1:4">
      <c r="C5" s="16" t="s">
        <v>158</v>
      </c>
    </row>
    <row r="6" spans="1:4">
      <c r="D6" s="16" t="s">
        <v>159</v>
      </c>
    </row>
    <row r="7" spans="1:4">
      <c r="D7" s="16" t="s">
        <v>160</v>
      </c>
    </row>
    <row r="8" spans="1:4">
      <c r="C8" s="16" t="s">
        <v>161</v>
      </c>
      <c r="D8" s="16"/>
    </row>
    <row r="9" spans="1:4">
      <c r="C9" s="16" t="s">
        <v>162</v>
      </c>
      <c r="D9" s="16"/>
    </row>
    <row r="10" spans="1:4">
      <c r="D10" s="16"/>
    </row>
    <row r="11" spans="1:4">
      <c r="B11" s="16" t="s">
        <v>163</v>
      </c>
      <c r="D11" s="16"/>
    </row>
    <row r="12" spans="1:4">
      <c r="D12" s="16"/>
    </row>
    <row r="13" spans="1:4">
      <c r="C13" s="16" t="s">
        <v>164</v>
      </c>
      <c r="D13" s="16"/>
    </row>
    <row r="14" spans="1:4">
      <c r="D14" s="16" t="s">
        <v>165</v>
      </c>
    </row>
    <row r="15" spans="1:4">
      <c r="D15" s="16" t="s">
        <v>166</v>
      </c>
    </row>
    <row r="16" spans="1:4">
      <c r="C16" s="16" t="s">
        <v>167</v>
      </c>
      <c r="D16" s="16"/>
    </row>
    <row r="17" spans="2:5">
      <c r="C17" s="16" t="s">
        <v>168</v>
      </c>
    </row>
    <row r="18" spans="2:5">
      <c r="D18" s="16"/>
    </row>
    <row r="19" spans="2:5">
      <c r="B19" s="16" t="s">
        <v>169</v>
      </c>
      <c r="C19" s="16"/>
    </row>
    <row r="20" spans="2:5">
      <c r="C20" s="16" t="s">
        <v>170</v>
      </c>
    </row>
    <row r="21" spans="2:5">
      <c r="C21" s="16" t="s">
        <v>171</v>
      </c>
    </row>
    <row r="22" spans="2:5">
      <c r="D22" s="16"/>
    </row>
    <row r="23" spans="2:5">
      <c r="B23" s="16" t="s">
        <v>172</v>
      </c>
      <c r="E23" s="16"/>
    </row>
    <row r="24" spans="2:5">
      <c r="C24" s="16" t="s">
        <v>173</v>
      </c>
      <c r="E24" s="16"/>
    </row>
    <row r="25" spans="2:5">
      <c r="C25" s="16" t="s">
        <v>174</v>
      </c>
    </row>
    <row r="26" spans="2:5">
      <c r="D26" s="16"/>
    </row>
    <row r="27" spans="2:5">
      <c r="B27" s="16" t="s">
        <v>175</v>
      </c>
      <c r="D27" s="16"/>
    </row>
    <row r="29" spans="2:5">
      <c r="C29" s="16" t="s">
        <v>176</v>
      </c>
    </row>
    <row r="30" spans="2:5">
      <c r="D30" s="16" t="s">
        <v>177</v>
      </c>
    </row>
    <row r="31" spans="2:5">
      <c r="D31" s="16" t="s">
        <v>178</v>
      </c>
    </row>
    <row r="32" spans="2:5">
      <c r="C32" s="16" t="s">
        <v>179</v>
      </c>
      <c r="E32" s="16"/>
    </row>
    <row r="33" spans="2:5">
      <c r="C33" s="16" t="s">
        <v>180</v>
      </c>
      <c r="E33" s="16"/>
    </row>
    <row r="34" spans="2:5">
      <c r="D34" s="16"/>
    </row>
    <row r="35" spans="2:5">
      <c r="B35" s="16" t="s">
        <v>181</v>
      </c>
      <c r="D35" s="16"/>
    </row>
    <row r="36" spans="2:5">
      <c r="D36" s="16"/>
    </row>
    <row r="37" spans="2:5">
      <c r="C37" s="16" t="s">
        <v>182</v>
      </c>
      <c r="E37" s="16"/>
    </row>
    <row r="38" spans="2:5">
      <c r="D38" s="16"/>
      <c r="E38" s="16"/>
    </row>
    <row r="39" spans="2:5">
      <c r="D39" s="16" t="s">
        <v>183</v>
      </c>
    </row>
    <row r="40" spans="2:5">
      <c r="E40" s="16" t="s">
        <v>184</v>
      </c>
    </row>
    <row r="41" spans="2:5">
      <c r="E41" s="16" t="s">
        <v>185</v>
      </c>
    </row>
    <row r="42" spans="2:5">
      <c r="D42" s="16" t="s">
        <v>186</v>
      </c>
      <c r="E42" s="16"/>
    </row>
    <row r="43" spans="2:5">
      <c r="D43" s="16" t="s">
        <v>187</v>
      </c>
    </row>
    <row r="44" spans="2:5">
      <c r="C44" s="16" t="s">
        <v>188</v>
      </c>
      <c r="D44" s="16"/>
    </row>
    <row r="45" spans="2:5">
      <c r="C45" s="16" t="s">
        <v>189</v>
      </c>
      <c r="E45" s="16"/>
    </row>
    <row r="46" spans="2:5">
      <c r="E46" s="16"/>
    </row>
    <row r="47" spans="2:5">
      <c r="B47" s="16" t="s">
        <v>190</v>
      </c>
      <c r="D47" s="16"/>
    </row>
    <row r="48" spans="2:5">
      <c r="C48" s="16" t="s">
        <v>191</v>
      </c>
      <c r="E48" s="16"/>
    </row>
    <row r="49" spans="2:6">
      <c r="C49" s="16" t="s">
        <v>192</v>
      </c>
      <c r="E49" s="16"/>
    </row>
    <row r="50" spans="2:6">
      <c r="D50" s="16"/>
    </row>
    <row r="51" spans="2:6">
      <c r="B51" s="16" t="s">
        <v>193</v>
      </c>
      <c r="D51" s="16"/>
    </row>
    <row r="52" spans="2:6">
      <c r="C52" s="16" t="s">
        <v>194</v>
      </c>
      <c r="D52" s="16"/>
    </row>
    <row r="53" spans="2:6">
      <c r="C53" s="16" t="s">
        <v>195</v>
      </c>
    </row>
    <row r="54" spans="2:6">
      <c r="C54" s="16"/>
    </row>
    <row r="55" spans="2:6">
      <c r="B55" s="16" t="s">
        <v>196</v>
      </c>
      <c r="D55" s="16"/>
    </row>
    <row r="56" spans="2:6">
      <c r="E56" s="16"/>
    </row>
    <row r="57" spans="2:6">
      <c r="C57" s="16" t="s">
        <v>197</v>
      </c>
      <c r="E57" s="16"/>
    </row>
    <row r="58" spans="2:6">
      <c r="D58" s="16" t="s">
        <v>198</v>
      </c>
      <c r="E58" s="16"/>
    </row>
    <row r="59" spans="2:6">
      <c r="D59" s="16" t="s">
        <v>199</v>
      </c>
    </row>
    <row r="60" spans="2:6">
      <c r="C60" s="16" t="s">
        <v>200</v>
      </c>
      <c r="E60" s="16"/>
    </row>
    <row r="61" spans="2:6">
      <c r="C61" s="16" t="s">
        <v>201</v>
      </c>
      <c r="E61" s="16"/>
    </row>
    <row r="62" spans="2:6">
      <c r="D62" s="16"/>
      <c r="E62" s="16"/>
    </row>
    <row r="63" spans="2:6">
      <c r="B63" s="16" t="s">
        <v>202</v>
      </c>
      <c r="D63" s="16"/>
      <c r="F63" s="16"/>
    </row>
    <row r="64" spans="2:6">
      <c r="C64" s="16" t="s">
        <v>203</v>
      </c>
      <c r="F64" s="16"/>
    </row>
    <row r="65" spans="2:6">
      <c r="C65" s="16" t="s">
        <v>204</v>
      </c>
      <c r="E65" s="16"/>
    </row>
    <row r="66" spans="2:6">
      <c r="B66" s="16"/>
      <c r="E66" s="16"/>
    </row>
    <row r="67" spans="2:6">
      <c r="B67" s="16" t="s">
        <v>205</v>
      </c>
    </row>
    <row r="68" spans="2:6">
      <c r="C68" s="16"/>
      <c r="D68" s="16"/>
    </row>
    <row r="69" spans="2:6">
      <c r="C69" s="16" t="s">
        <v>206</v>
      </c>
      <c r="E69" s="16"/>
    </row>
    <row r="70" spans="2:6">
      <c r="D70" s="16" t="s">
        <v>207</v>
      </c>
      <c r="E70" s="16"/>
    </row>
    <row r="71" spans="2:6">
      <c r="D71" s="16" t="s">
        <v>208</v>
      </c>
      <c r="E71" s="16"/>
    </row>
    <row r="72" spans="2:6">
      <c r="C72" s="16" t="s">
        <v>209</v>
      </c>
      <c r="E72" s="16"/>
    </row>
    <row r="73" spans="2:6">
      <c r="C73" s="16" t="s">
        <v>210</v>
      </c>
      <c r="D73" s="16"/>
      <c r="E73" s="16"/>
    </row>
    <row r="74" spans="2:6">
      <c r="D74" s="16"/>
      <c r="E74" s="16"/>
    </row>
    <row r="75" spans="2:6">
      <c r="B75" s="16" t="s">
        <v>211</v>
      </c>
    </row>
    <row r="76" spans="2:6">
      <c r="C76" s="16"/>
      <c r="D76" s="16"/>
    </row>
    <row r="77" spans="2:6">
      <c r="C77" s="16" t="s">
        <v>212</v>
      </c>
    </row>
    <row r="78" spans="2:6">
      <c r="D78" s="16" t="s">
        <v>213</v>
      </c>
      <c r="E78" s="16"/>
    </row>
    <row r="79" spans="2:6">
      <c r="D79" s="16" t="s">
        <v>214</v>
      </c>
      <c r="E79" s="16"/>
      <c r="F79" s="16"/>
    </row>
    <row r="80" spans="2:6">
      <c r="C80" s="16" t="s">
        <v>215</v>
      </c>
      <c r="E80" s="16"/>
      <c r="F80" s="16"/>
    </row>
    <row r="81" spans="2:6">
      <c r="C81" s="16" t="s">
        <v>216</v>
      </c>
      <c r="D81" s="16"/>
      <c r="E81" s="16"/>
    </row>
    <row r="82" spans="2:6">
      <c r="B82" s="16" t="s">
        <v>217</v>
      </c>
      <c r="D82" s="16"/>
      <c r="E82" s="16"/>
    </row>
    <row r="83" spans="2:6">
      <c r="B83" s="16" t="s">
        <v>218</v>
      </c>
    </row>
    <row r="84" spans="2:6">
      <c r="C84" s="16"/>
      <c r="D84" s="16"/>
    </row>
    <row r="85" spans="2:6">
      <c r="D85" s="16"/>
    </row>
    <row r="86" spans="2:6">
      <c r="D86" s="16"/>
      <c r="E86" s="16"/>
    </row>
    <row r="87" spans="2:6">
      <c r="F87" s="16"/>
    </row>
    <row r="88" spans="2:6">
      <c r="C88" s="16"/>
      <c r="F88" s="16"/>
    </row>
    <row r="89" spans="2:6">
      <c r="D89" s="16"/>
    </row>
    <row r="90" spans="2:6">
      <c r="D90" s="16"/>
      <c r="E90" s="16"/>
    </row>
    <row r="91" spans="2:6">
      <c r="F91" s="16"/>
    </row>
    <row r="92" spans="2:6">
      <c r="C92" s="16"/>
      <c r="F92" s="16"/>
    </row>
    <row r="93" spans="2:6">
      <c r="E93" s="16"/>
    </row>
    <row r="94" spans="2:6">
      <c r="D94" s="16"/>
      <c r="E94" s="16"/>
    </row>
    <row r="95" spans="2:6">
      <c r="E95" s="16"/>
    </row>
    <row r="96" spans="2:6">
      <c r="E96" s="16"/>
    </row>
    <row r="97" spans="3:6">
      <c r="D97" s="16"/>
    </row>
    <row r="98" spans="3:6">
      <c r="D98" s="16"/>
    </row>
    <row r="99" spans="3:6">
      <c r="D99" s="16"/>
    </row>
    <row r="100" spans="3:6">
      <c r="C100" s="16"/>
    </row>
    <row r="101" spans="3:6">
      <c r="D101" s="16"/>
      <c r="E101" s="16"/>
    </row>
    <row r="102" spans="3:6">
      <c r="D102" s="16"/>
      <c r="F102" s="16"/>
    </row>
    <row r="103" spans="3:6">
      <c r="F103" s="16"/>
    </row>
    <row r="104" spans="3:6">
      <c r="E104" s="16"/>
    </row>
    <row r="105" spans="3:6">
      <c r="F105" s="16"/>
    </row>
    <row r="106" spans="3:6">
      <c r="F106" s="16"/>
    </row>
    <row r="107" spans="3:6">
      <c r="E107" s="16"/>
    </row>
    <row r="108" spans="3:6">
      <c r="E108" s="16"/>
    </row>
    <row r="109" spans="3:6">
      <c r="D109" s="16"/>
      <c r="F109" s="16"/>
    </row>
    <row r="110" spans="3:6">
      <c r="D110" s="16"/>
      <c r="F110" s="16"/>
    </row>
    <row r="111" spans="3:6">
      <c r="E111" s="16"/>
      <c r="F111" s="16"/>
    </row>
    <row r="112" spans="3:6">
      <c r="C112" s="16"/>
      <c r="E112" s="16"/>
    </row>
    <row r="113" spans="3:6">
      <c r="D113" s="16"/>
      <c r="E113" s="16"/>
    </row>
    <row r="114" spans="3:6">
      <c r="D114" s="16"/>
    </row>
    <row r="115" spans="3:6">
      <c r="D115" s="16"/>
    </row>
    <row r="116" spans="3:6">
      <c r="C116" s="16"/>
      <c r="E116" s="16"/>
    </row>
    <row r="117" spans="3:6">
      <c r="D117" s="16"/>
      <c r="E117" s="16"/>
    </row>
    <row r="118" spans="3:6">
      <c r="D118" s="16"/>
    </row>
    <row r="119" spans="3:6">
      <c r="D119" s="16"/>
    </row>
    <row r="120" spans="3:6">
      <c r="C120" s="16"/>
      <c r="E120" s="16"/>
    </row>
    <row r="121" spans="3:6">
      <c r="D121" s="16"/>
      <c r="E121" s="16"/>
    </row>
    <row r="122" spans="3:6">
      <c r="D122" s="16"/>
    </row>
    <row r="123" spans="3:6">
      <c r="E123" s="16"/>
    </row>
    <row r="124" spans="3:6">
      <c r="E124" s="16"/>
    </row>
    <row r="125" spans="3:6">
      <c r="D125" s="16"/>
      <c r="E125" s="16"/>
    </row>
    <row r="126" spans="3:6">
      <c r="D126" s="16"/>
      <c r="F126" s="16"/>
    </row>
    <row r="127" spans="3:6">
      <c r="E127" s="16"/>
      <c r="F127" s="16"/>
    </row>
    <row r="128" spans="3:6">
      <c r="C128" s="16"/>
      <c r="E128" s="16"/>
    </row>
    <row r="129" spans="3:7">
      <c r="D129" s="16"/>
      <c r="E129" s="16"/>
    </row>
    <row r="130" spans="3:7">
      <c r="D130" s="16"/>
    </row>
    <row r="131" spans="3:7">
      <c r="D131" s="16"/>
    </row>
    <row r="132" spans="3:7">
      <c r="C132" s="16"/>
      <c r="E132" s="16"/>
    </row>
    <row r="133" spans="3:7">
      <c r="D133" s="16"/>
      <c r="E133" s="16"/>
    </row>
    <row r="134" spans="3:7">
      <c r="D134" s="16"/>
    </row>
    <row r="135" spans="3:7">
      <c r="E135" s="16"/>
    </row>
    <row r="136" spans="3:7">
      <c r="E136" s="16"/>
    </row>
    <row r="137" spans="3:7">
      <c r="D137" s="16"/>
      <c r="E137" s="16"/>
    </row>
    <row r="138" spans="3:7">
      <c r="D138" s="16"/>
    </row>
    <row r="139" spans="3:7">
      <c r="E139" s="16"/>
      <c r="F139" s="16"/>
    </row>
    <row r="140" spans="3:7">
      <c r="C140" s="16"/>
      <c r="E140" s="16"/>
      <c r="G140" s="16"/>
    </row>
    <row r="141" spans="3:7">
      <c r="D141" s="16"/>
      <c r="G141" s="16"/>
    </row>
    <row r="142" spans="3:7">
      <c r="D142" s="16"/>
      <c r="F142" s="16"/>
    </row>
    <row r="143" spans="3:7">
      <c r="E143" s="16"/>
      <c r="F143" s="16"/>
    </row>
    <row r="144" spans="3:7">
      <c r="E144" s="16"/>
    </row>
    <row r="145" spans="2:6">
      <c r="D145" s="16"/>
      <c r="E145" s="16"/>
    </row>
    <row r="146" spans="2:6">
      <c r="D146" s="16"/>
    </row>
    <row r="147" spans="2:6">
      <c r="C147" s="16"/>
      <c r="E147" s="16"/>
    </row>
    <row r="148" spans="2:6">
      <c r="C148" s="16"/>
      <c r="E148" s="16"/>
    </row>
    <row r="149" spans="2:6">
      <c r="D149" s="16"/>
      <c r="E149" s="16"/>
    </row>
    <row r="150" spans="2:6">
      <c r="B150" s="16"/>
      <c r="D150" s="16"/>
    </row>
    <row r="151" spans="2:6">
      <c r="C151" s="16"/>
      <c r="D151" s="16"/>
    </row>
    <row r="152" spans="2:6">
      <c r="C152" s="16"/>
      <c r="E152" s="16"/>
    </row>
    <row r="153" spans="2:6">
      <c r="D153" s="16"/>
      <c r="E153" s="16"/>
    </row>
    <row r="154" spans="2:6">
      <c r="D154" s="16"/>
    </row>
    <row r="155" spans="2:6">
      <c r="D155" s="16"/>
    </row>
    <row r="156" spans="2:6">
      <c r="C156" s="16"/>
    </row>
    <row r="157" spans="2:6">
      <c r="D157" s="16"/>
      <c r="E157" s="16"/>
    </row>
    <row r="158" spans="2:6">
      <c r="D158" s="16"/>
      <c r="F158" s="16"/>
    </row>
    <row r="159" spans="2:6">
      <c r="E159" s="16"/>
      <c r="F159" s="16"/>
    </row>
    <row r="160" spans="2:6">
      <c r="E160" s="16"/>
    </row>
    <row r="161" spans="3:6">
      <c r="D161" s="16"/>
      <c r="E161" s="16"/>
    </row>
    <row r="162" spans="3:6">
      <c r="D162" s="16"/>
    </row>
    <row r="163" spans="3:6">
      <c r="E163" s="16"/>
    </row>
    <row r="164" spans="3:6">
      <c r="C164" s="16"/>
      <c r="E164" s="16"/>
    </row>
    <row r="165" spans="3:6">
      <c r="D165" s="16"/>
      <c r="E165" s="16"/>
    </row>
    <row r="166" spans="3:6">
      <c r="D166" s="16"/>
    </row>
    <row r="167" spans="3:6">
      <c r="D167" s="16"/>
    </row>
    <row r="168" spans="3:6">
      <c r="C168" s="16"/>
    </row>
    <row r="169" spans="3:6">
      <c r="D169" s="16"/>
      <c r="E169" s="16"/>
    </row>
    <row r="170" spans="3:6">
      <c r="D170" s="16"/>
      <c r="F170" s="16"/>
    </row>
    <row r="171" spans="3:6">
      <c r="F171" s="16"/>
    </row>
    <row r="172" spans="3:6">
      <c r="C172" s="16"/>
      <c r="E172" s="16"/>
    </row>
    <row r="173" spans="3:6">
      <c r="D173" s="16"/>
      <c r="E173" s="16"/>
    </row>
    <row r="174" spans="3:6">
      <c r="D174" s="16"/>
    </row>
    <row r="175" spans="3:6">
      <c r="E175" s="16"/>
    </row>
    <row r="176" spans="3:6">
      <c r="E176" s="16"/>
    </row>
    <row r="177" spans="3:6">
      <c r="D177" s="16"/>
      <c r="E177" s="16"/>
    </row>
    <row r="178" spans="3:6">
      <c r="D178" s="16"/>
      <c r="F178" s="16"/>
    </row>
    <row r="179" spans="3:6">
      <c r="E179" s="16"/>
      <c r="F179" s="16"/>
    </row>
    <row r="180" spans="3:6">
      <c r="C180" s="16"/>
      <c r="E180" s="16"/>
    </row>
    <row r="181" spans="3:6">
      <c r="D181" s="16"/>
      <c r="E181" s="16"/>
    </row>
    <row r="182" spans="3:6">
      <c r="D182" s="16"/>
    </row>
    <row r="183" spans="3:6">
      <c r="D183" s="16"/>
    </row>
    <row r="184" spans="3:6">
      <c r="C184" s="16"/>
    </row>
    <row r="185" spans="3:6">
      <c r="D185" s="16"/>
    </row>
    <row r="186" spans="3:6">
      <c r="D186" s="16"/>
    </row>
    <row r="187" spans="3:6">
      <c r="E187" s="16"/>
    </row>
    <row r="188" spans="3:6">
      <c r="E188" s="16"/>
    </row>
    <row r="189" spans="3:6">
      <c r="D189" s="16"/>
      <c r="E189" s="16"/>
    </row>
    <row r="190" spans="3:6">
      <c r="D190" s="16"/>
    </row>
    <row r="191" spans="3:6">
      <c r="E191" s="16"/>
    </row>
    <row r="192" spans="3:6">
      <c r="C192" s="16"/>
      <c r="E192" s="16"/>
    </row>
    <row r="193" spans="3:6">
      <c r="D193" s="16"/>
      <c r="E193" s="16"/>
    </row>
    <row r="194" spans="3:6">
      <c r="D194" s="16"/>
      <c r="F194" s="16"/>
    </row>
    <row r="195" spans="3:6">
      <c r="F195" s="16"/>
    </row>
    <row r="196" spans="3:6">
      <c r="C196" s="16"/>
      <c r="E196" s="16"/>
    </row>
    <row r="197" spans="3:6">
      <c r="D197" s="16"/>
      <c r="E197" s="16"/>
    </row>
    <row r="198" spans="3:6">
      <c r="D198" s="16"/>
    </row>
    <row r="199" spans="3:6">
      <c r="D199" s="16"/>
    </row>
    <row r="200" spans="3:6">
      <c r="C200" s="16"/>
      <c r="E200" s="16"/>
    </row>
    <row r="201" spans="3:6">
      <c r="D201" s="16"/>
      <c r="E201" s="16"/>
    </row>
    <row r="202" spans="3:6">
      <c r="D202" s="16"/>
    </row>
    <row r="203" spans="3:6">
      <c r="D203" s="16"/>
    </row>
    <row r="204" spans="3:6">
      <c r="C204" s="16"/>
      <c r="E204" s="16"/>
    </row>
    <row r="205" spans="3:6">
      <c r="D205" s="16"/>
      <c r="E205" s="16"/>
    </row>
    <row r="206" spans="3:6">
      <c r="D206" s="16"/>
    </row>
    <row r="207" spans="3:6">
      <c r="D207" s="16"/>
    </row>
    <row r="208" spans="3:6">
      <c r="C208" s="16"/>
    </row>
    <row r="209" spans="3:6">
      <c r="D209" s="16"/>
      <c r="E209" s="16"/>
    </row>
    <row r="210" spans="3:6">
      <c r="D210" s="16"/>
      <c r="F210" s="16"/>
    </row>
    <row r="211" spans="3:6">
      <c r="F211" s="16"/>
    </row>
    <row r="212" spans="3:6">
      <c r="C212" s="16"/>
      <c r="E212" s="16"/>
    </row>
    <row r="213" spans="3:6">
      <c r="D213" s="16"/>
      <c r="E213" s="16"/>
    </row>
    <row r="214" spans="3:6">
      <c r="D214" s="16"/>
    </row>
    <row r="215" spans="3:6">
      <c r="D215" s="16"/>
    </row>
    <row r="216" spans="3:6">
      <c r="C216" s="16"/>
      <c r="E216" s="16"/>
    </row>
    <row r="217" spans="3:6">
      <c r="D217" s="16"/>
      <c r="E217" s="16"/>
    </row>
    <row r="218" spans="3:6">
      <c r="D218" s="16"/>
    </row>
    <row r="219" spans="3:6">
      <c r="E219" s="16"/>
    </row>
    <row r="220" spans="3:6">
      <c r="E220" s="16"/>
    </row>
    <row r="221" spans="3:6">
      <c r="D221" s="16"/>
      <c r="E221" s="16"/>
    </row>
    <row r="222" spans="3:6">
      <c r="D222" s="16"/>
      <c r="F222" s="16"/>
    </row>
    <row r="223" spans="3:6">
      <c r="E223" s="16"/>
      <c r="F223" s="16"/>
    </row>
    <row r="224" spans="3:6">
      <c r="C224" s="16"/>
      <c r="E224" s="16"/>
    </row>
    <row r="225" spans="2:5">
      <c r="D225" s="16"/>
      <c r="E225" s="16"/>
    </row>
    <row r="226" spans="2:5">
      <c r="D226" s="16"/>
    </row>
    <row r="227" spans="2:5">
      <c r="E227" s="16"/>
    </row>
    <row r="228" spans="2:5">
      <c r="E228" s="16"/>
    </row>
    <row r="229" spans="2:5">
      <c r="D229" s="16"/>
      <c r="E229" s="16"/>
    </row>
    <row r="230" spans="2:5">
      <c r="D230" s="16"/>
    </row>
    <row r="231" spans="2:5">
      <c r="C231" s="16"/>
      <c r="E231" s="16"/>
    </row>
    <row r="232" spans="2:5">
      <c r="E232" s="16"/>
    </row>
    <row r="233" spans="2:5">
      <c r="B233" s="16"/>
      <c r="D233" s="16"/>
      <c r="E233" s="16"/>
    </row>
    <row r="234" spans="2:5">
      <c r="D234" s="16"/>
    </row>
    <row r="235" spans="2:5">
      <c r="C235" s="16"/>
      <c r="D235" s="16"/>
    </row>
    <row r="236" spans="2:5">
      <c r="E236" s="16"/>
    </row>
    <row r="237" spans="2:5">
      <c r="D237" s="16"/>
      <c r="E237" s="16"/>
    </row>
    <row r="238" spans="2:5">
      <c r="E238" s="16"/>
    </row>
    <row r="239" spans="2:5">
      <c r="E239" s="16"/>
    </row>
    <row r="240" spans="2:5">
      <c r="E240" s="16"/>
    </row>
    <row r="241" spans="3:6">
      <c r="D241" s="16"/>
      <c r="E241" s="16"/>
    </row>
    <row r="242" spans="3:6">
      <c r="E242" s="16"/>
    </row>
    <row r="243" spans="3:6">
      <c r="E243" s="16"/>
    </row>
    <row r="244" spans="3:6">
      <c r="E244" s="16"/>
    </row>
    <row r="245" spans="3:6">
      <c r="D245" s="16"/>
      <c r="E245" s="16"/>
    </row>
    <row r="246" spans="3:6">
      <c r="E246" s="16"/>
    </row>
    <row r="247" spans="3:6">
      <c r="E247" s="16"/>
    </row>
    <row r="248" spans="3:6">
      <c r="E248" s="16"/>
    </row>
    <row r="249" spans="3:6">
      <c r="D249" s="16"/>
      <c r="E249" s="16"/>
    </row>
    <row r="250" spans="3:6">
      <c r="E250" s="16"/>
    </row>
    <row r="251" spans="3:6">
      <c r="E251" s="16"/>
    </row>
    <row r="252" spans="3:6">
      <c r="D252" s="16"/>
    </row>
    <row r="253" spans="3:6">
      <c r="D253" s="16"/>
      <c r="E253" s="16"/>
    </row>
    <row r="254" spans="3:6">
      <c r="E254" s="16"/>
      <c r="F254" s="16"/>
    </row>
    <row r="255" spans="3:6">
      <c r="C255" s="16"/>
      <c r="E255" s="16"/>
      <c r="F255" s="16"/>
    </row>
    <row r="256" spans="3:6">
      <c r="D256" s="16"/>
      <c r="E256" s="16"/>
    </row>
    <row r="257" spans="3:6">
      <c r="D257" s="16"/>
      <c r="E257" s="16"/>
    </row>
    <row r="258" spans="3:6">
      <c r="E258" s="16"/>
    </row>
    <row r="259" spans="3:6">
      <c r="E259" s="16"/>
    </row>
    <row r="260" spans="3:6">
      <c r="D260" s="16"/>
    </row>
    <row r="261" spans="3:6">
      <c r="D261" s="16"/>
      <c r="E261" s="16"/>
    </row>
    <row r="262" spans="3:6">
      <c r="E262" s="16"/>
      <c r="F262" s="16"/>
    </row>
    <row r="263" spans="3:6">
      <c r="C263" s="16"/>
      <c r="E263" s="16"/>
      <c r="F263" s="16"/>
    </row>
    <row r="264" spans="3:6">
      <c r="D264" s="16"/>
      <c r="E264" s="16"/>
    </row>
    <row r="265" spans="3:6">
      <c r="D265" s="16"/>
      <c r="E265" s="16"/>
    </row>
    <row r="266" spans="3:6">
      <c r="D266" s="16"/>
    </row>
    <row r="267" spans="3:6">
      <c r="C267" s="16"/>
    </row>
    <row r="268" spans="3:6">
      <c r="D268" s="16"/>
    </row>
    <row r="269" spans="3:6">
      <c r="D269" s="16"/>
    </row>
    <row r="270" spans="3:6">
      <c r="E270" s="16"/>
    </row>
    <row r="271" spans="3:6">
      <c r="E271" s="16"/>
    </row>
    <row r="272" spans="3:6">
      <c r="D272" s="16"/>
      <c r="E272" s="16"/>
    </row>
    <row r="273" spans="2:6">
      <c r="D273" s="16"/>
      <c r="F273" s="16"/>
    </row>
    <row r="274" spans="2:6">
      <c r="E274" s="16"/>
      <c r="F274" s="16"/>
    </row>
    <row r="275" spans="2:6">
      <c r="C275" s="16"/>
      <c r="E275" s="16"/>
    </row>
    <row r="276" spans="2:6">
      <c r="D276" s="16"/>
      <c r="E276" s="16"/>
    </row>
    <row r="277" spans="2:6">
      <c r="D277" s="16"/>
      <c r="F277" s="16"/>
    </row>
    <row r="278" spans="2:6">
      <c r="E278" s="16"/>
      <c r="F278" s="16"/>
    </row>
    <row r="279" spans="2:6">
      <c r="E279" s="16"/>
    </row>
    <row r="280" spans="2:6">
      <c r="E280" s="16"/>
    </row>
    <row r="281" spans="2:6">
      <c r="D281" s="16"/>
      <c r="F281" s="16"/>
    </row>
    <row r="282" spans="2:6">
      <c r="E282" s="16"/>
      <c r="F282" s="16"/>
    </row>
    <row r="283" spans="2:6">
      <c r="E283" s="16"/>
    </row>
    <row r="284" spans="2:6">
      <c r="D284" s="16"/>
      <c r="E284" s="16"/>
    </row>
    <row r="285" spans="2:6">
      <c r="D285" s="16"/>
      <c r="F285" s="16"/>
    </row>
    <row r="286" spans="2:6">
      <c r="C286" s="16"/>
      <c r="E286" s="16"/>
      <c r="F286" s="16"/>
    </row>
    <row r="287" spans="2:6">
      <c r="E287" s="16"/>
    </row>
    <row r="288" spans="2:6">
      <c r="B288" s="16"/>
      <c r="D288" s="16"/>
      <c r="E288" s="16"/>
    </row>
    <row r="289" spans="3:6">
      <c r="D289" s="16"/>
    </row>
    <row r="290" spans="3:6">
      <c r="C290" s="16"/>
      <c r="D290" s="16"/>
    </row>
    <row r="291" spans="3:6">
      <c r="C291" s="16"/>
    </row>
    <row r="292" spans="3:6">
      <c r="D292" s="16"/>
      <c r="E292" s="16"/>
    </row>
    <row r="293" spans="3:6">
      <c r="E293" s="16"/>
      <c r="F293" s="16"/>
    </row>
    <row r="294" spans="3:6">
      <c r="E294" s="16"/>
      <c r="F294" s="16"/>
    </row>
    <row r="295" spans="3:6">
      <c r="D295" s="16"/>
      <c r="E295" s="16"/>
    </row>
    <row r="296" spans="3:6">
      <c r="D296" s="16"/>
      <c r="E296" s="16"/>
    </row>
    <row r="297" spans="3:6">
      <c r="E297" s="16"/>
    </row>
    <row r="298" spans="3:6">
      <c r="C298" s="16"/>
      <c r="E298" s="16"/>
    </row>
    <row r="299" spans="3:6">
      <c r="D299" s="16"/>
      <c r="E299" s="16"/>
    </row>
    <row r="300" spans="3:6">
      <c r="D300" s="16"/>
      <c r="E300" s="16"/>
    </row>
    <row r="301" spans="3:6">
      <c r="D301" s="16"/>
    </row>
    <row r="302" spans="3:6">
      <c r="C302" s="16"/>
      <c r="D302" s="16"/>
    </row>
    <row r="303" spans="3:6">
      <c r="D303" s="16"/>
    </row>
    <row r="304" spans="3:6">
      <c r="D304" s="16"/>
      <c r="E304" s="16"/>
    </row>
    <row r="305" spans="2:6">
      <c r="F305" s="16"/>
    </row>
    <row r="306" spans="2:6">
      <c r="C306" s="16"/>
      <c r="F306" s="16"/>
    </row>
    <row r="307" spans="2:6">
      <c r="D307" s="16"/>
      <c r="E307" s="16"/>
    </row>
    <row r="308" spans="2:6">
      <c r="D308" s="16"/>
      <c r="E308" s="16"/>
    </row>
    <row r="309" spans="2:6">
      <c r="E309" s="16"/>
    </row>
    <row r="310" spans="2:6">
      <c r="C310" s="16"/>
      <c r="E310" s="16"/>
    </row>
    <row r="311" spans="2:6">
      <c r="D311" s="16"/>
    </row>
    <row r="312" spans="2:6">
      <c r="D312" s="16"/>
      <c r="E312" s="16"/>
    </row>
    <row r="313" spans="2:6">
      <c r="C313" s="16"/>
      <c r="F313" s="16"/>
    </row>
    <row r="314" spans="2:6">
      <c r="C314" s="16"/>
      <c r="F314" s="16"/>
    </row>
    <row r="315" spans="2:6">
      <c r="B315" s="16"/>
      <c r="D315" s="16"/>
    </row>
    <row r="316" spans="2:6">
      <c r="D316" s="16"/>
      <c r="E316" s="16"/>
    </row>
    <row r="317" spans="2:6">
      <c r="C317" s="16"/>
      <c r="F317" s="16"/>
    </row>
    <row r="318" spans="2:6">
      <c r="D318" s="16"/>
      <c r="F318" s="16"/>
    </row>
    <row r="319" spans="2:6">
      <c r="D319" s="16"/>
      <c r="E319" s="16"/>
    </row>
    <row r="320" spans="2:6">
      <c r="D320" s="16"/>
      <c r="E320" s="16"/>
    </row>
    <row r="321" spans="2:6">
      <c r="C321" s="16"/>
    </row>
    <row r="322" spans="2:6">
      <c r="D322" s="16"/>
    </row>
    <row r="323" spans="2:6">
      <c r="D323" s="16"/>
    </row>
    <row r="324" spans="2:6">
      <c r="D324" s="16"/>
      <c r="E324" s="16"/>
    </row>
    <row r="325" spans="2:6">
      <c r="C325" s="16"/>
      <c r="F325" s="16"/>
    </row>
    <row r="326" spans="2:6">
      <c r="D326" s="16"/>
      <c r="F326" s="16"/>
    </row>
    <row r="327" spans="2:6">
      <c r="D327" s="16"/>
    </row>
    <row r="328" spans="2:6">
      <c r="D328" s="16"/>
      <c r="E328" s="16"/>
    </row>
    <row r="329" spans="2:6">
      <c r="C329" s="16"/>
      <c r="F329" s="16"/>
    </row>
    <row r="330" spans="2:6">
      <c r="D330" s="16"/>
      <c r="F330" s="16"/>
    </row>
    <row r="331" spans="2:6">
      <c r="D331" s="16"/>
      <c r="E331" s="16"/>
    </row>
    <row r="332" spans="2:6">
      <c r="C332" s="16"/>
      <c r="E332" s="16"/>
    </row>
    <row r="333" spans="2:6">
      <c r="C333" s="16"/>
      <c r="D333" s="16"/>
    </row>
    <row r="334" spans="2:6">
      <c r="B334" s="16"/>
      <c r="D334" s="16"/>
    </row>
    <row r="335" spans="2:6">
      <c r="D335" s="16"/>
    </row>
    <row r="336" spans="2:6">
      <c r="C336" s="16"/>
    </row>
    <row r="337" spans="3:6">
      <c r="D337" s="16"/>
    </row>
    <row r="338" spans="3:6">
      <c r="D338" s="16"/>
    </row>
    <row r="339" spans="3:6">
      <c r="D339" s="16"/>
      <c r="E339" s="16"/>
    </row>
    <row r="340" spans="3:6">
      <c r="C340" s="16"/>
      <c r="F340" s="16"/>
    </row>
    <row r="341" spans="3:6">
      <c r="D341" s="16"/>
      <c r="F341" s="16"/>
    </row>
    <row r="342" spans="3:6">
      <c r="D342" s="16"/>
      <c r="E342" s="16"/>
    </row>
    <row r="343" spans="3:6">
      <c r="D343" s="16"/>
      <c r="E343" s="16"/>
    </row>
    <row r="344" spans="3:6">
      <c r="C344" s="16"/>
    </row>
    <row r="345" spans="3:6">
      <c r="D345" s="16"/>
    </row>
    <row r="346" spans="3:6">
      <c r="D346" s="16"/>
      <c r="E346" s="16"/>
    </row>
    <row r="347" spans="3:6">
      <c r="D347" s="16"/>
      <c r="E347" s="16"/>
    </row>
    <row r="348" spans="3:6">
      <c r="C348" s="16"/>
    </row>
    <row r="349" spans="3:6">
      <c r="D349" s="16"/>
    </row>
    <row r="350" spans="3:6">
      <c r="D350" s="16"/>
      <c r="E350" s="16"/>
    </row>
    <row r="351" spans="3:6">
      <c r="C351" s="16"/>
      <c r="D351" s="16"/>
      <c r="E351" s="16"/>
    </row>
    <row r="352" spans="3:6">
      <c r="C352" s="16"/>
    </row>
    <row r="353" spans="2:5">
      <c r="B353" s="16"/>
      <c r="D353" s="16"/>
    </row>
    <row r="354" spans="2:5">
      <c r="D354" s="16"/>
      <c r="E354" s="16"/>
    </row>
    <row r="355" spans="2:5">
      <c r="C355" s="16"/>
      <c r="D355" s="16"/>
      <c r="E355" s="16"/>
    </row>
    <row r="356" spans="2:5">
      <c r="D356" s="16"/>
    </row>
    <row r="357" spans="2:5">
      <c r="D357" s="16"/>
    </row>
    <row r="358" spans="2:5">
      <c r="B358" s="16"/>
      <c r="E358" s="16"/>
    </row>
    <row r="359" spans="2:5">
      <c r="C359" s="16"/>
      <c r="E359" s="16"/>
    </row>
    <row r="360" spans="2:5">
      <c r="D360" s="16"/>
    </row>
    <row r="361" spans="2:5">
      <c r="D361" s="16"/>
    </row>
    <row r="362" spans="2:5">
      <c r="D362" s="16"/>
    </row>
    <row r="363" spans="2:5">
      <c r="C363" s="16"/>
    </row>
    <row r="364" spans="2:5">
      <c r="D364" s="16"/>
    </row>
    <row r="365" spans="2:5">
      <c r="D365" s="16"/>
      <c r="E365" s="16"/>
    </row>
    <row r="366" spans="2:5">
      <c r="D366" s="16"/>
      <c r="E366" s="16"/>
    </row>
    <row r="367" spans="2:5">
      <c r="C367" s="16"/>
    </row>
    <row r="368" spans="2:5">
      <c r="D368" s="16"/>
    </row>
    <row r="369" spans="3:5">
      <c r="D369" s="16"/>
      <c r="E369" s="16"/>
    </row>
    <row r="370" spans="3:5">
      <c r="D370" s="16"/>
      <c r="E370" s="16"/>
    </row>
    <row r="371" spans="3:5">
      <c r="C371" s="16"/>
    </row>
    <row r="372" spans="3:5">
      <c r="D372" s="16"/>
    </row>
    <row r="373" spans="3:5">
      <c r="D373" s="16"/>
      <c r="E373" s="16"/>
    </row>
    <row r="374" spans="3:5">
      <c r="D374" s="16"/>
      <c r="E374" s="16"/>
    </row>
    <row r="375" spans="3:5">
      <c r="C375" s="16"/>
    </row>
    <row r="376" spans="3:5">
      <c r="D376" s="16"/>
    </row>
    <row r="377" spans="3:5">
      <c r="D377" s="16"/>
      <c r="E377" s="16"/>
    </row>
    <row r="378" spans="3:5">
      <c r="E378" s="16"/>
    </row>
    <row r="379" spans="3:5">
      <c r="C379" s="16"/>
    </row>
    <row r="380" spans="3:5">
      <c r="D380" s="16"/>
    </row>
    <row r="381" spans="3:5">
      <c r="D381" s="16"/>
      <c r="E381" s="16"/>
    </row>
    <row r="382" spans="3:5">
      <c r="E382" s="16"/>
    </row>
    <row r="383" spans="3:5">
      <c r="C383" s="16"/>
    </row>
    <row r="384" spans="3:5">
      <c r="D384" s="16"/>
    </row>
    <row r="385" spans="3:5">
      <c r="D385" s="16"/>
      <c r="E385" s="16"/>
    </row>
    <row r="386" spans="3:5">
      <c r="E386" s="16"/>
    </row>
    <row r="387" spans="3:5">
      <c r="C387" s="16"/>
      <c r="D387" s="16"/>
    </row>
    <row r="388" spans="3:5">
      <c r="D388" s="16"/>
    </row>
    <row r="389" spans="3:5">
      <c r="D389" s="16"/>
    </row>
    <row r="391" spans="3:5">
      <c r="C391" s="16"/>
      <c r="D391" s="16"/>
    </row>
    <row r="392" spans="3:5">
      <c r="D392" s="16"/>
      <c r="E392" s="16"/>
    </row>
    <row r="393" spans="3:5">
      <c r="D393" s="16"/>
      <c r="E393" s="16"/>
    </row>
    <row r="395" spans="3:5">
      <c r="C395" s="16"/>
      <c r="D395" s="16"/>
    </row>
    <row r="396" spans="3:5">
      <c r="D396" s="16"/>
      <c r="E396" s="16"/>
    </row>
    <row r="397" spans="3:5">
      <c r="D397" s="16"/>
      <c r="E397" s="16"/>
    </row>
    <row r="399" spans="3:5">
      <c r="C399" s="16"/>
      <c r="D399" s="16"/>
    </row>
    <row r="400" spans="3:5">
      <c r="D400" s="16"/>
      <c r="E400" s="16"/>
    </row>
    <row r="401" spans="2:6">
      <c r="D401" s="16"/>
      <c r="E401" s="16"/>
    </row>
    <row r="403" spans="2:6">
      <c r="C403" s="16"/>
      <c r="D403" s="16"/>
    </row>
    <row r="404" spans="2:6">
      <c r="D404" s="16"/>
      <c r="E404" s="16"/>
    </row>
    <row r="405" spans="2:6">
      <c r="D405" s="16"/>
      <c r="E405" s="16"/>
    </row>
    <row r="406" spans="2:6">
      <c r="D406" s="16"/>
    </row>
    <row r="407" spans="2:6">
      <c r="C407" s="16"/>
    </row>
    <row r="408" spans="2:6">
      <c r="D408" s="16"/>
    </row>
    <row r="409" spans="2:6">
      <c r="D409" s="16"/>
    </row>
    <row r="410" spans="2:6">
      <c r="C410" s="16"/>
      <c r="D410" s="16"/>
    </row>
    <row r="411" spans="2:6">
      <c r="C411" s="16"/>
    </row>
    <row r="412" spans="2:6">
      <c r="B412" s="16"/>
      <c r="D412" s="16"/>
      <c r="E412" s="16"/>
    </row>
    <row r="413" spans="2:6">
      <c r="C413" s="16"/>
      <c r="D413" s="16"/>
      <c r="F413" s="16"/>
    </row>
    <row r="414" spans="2:6">
      <c r="C414" s="16"/>
      <c r="F414" s="16"/>
    </row>
    <row r="415" spans="2:6">
      <c r="C415" s="16"/>
      <c r="E415" s="16"/>
    </row>
    <row r="416" spans="2:6">
      <c r="C416" s="16"/>
      <c r="D416" s="16"/>
      <c r="E416" s="16"/>
    </row>
    <row r="417" spans="2:6">
      <c r="C417" s="16"/>
      <c r="D417" s="16"/>
    </row>
    <row r="418" spans="2:6">
      <c r="C418" s="16"/>
      <c r="D418" s="16"/>
    </row>
    <row r="419" spans="2:6">
      <c r="B419" s="16"/>
      <c r="C419" s="16"/>
    </row>
    <row r="420" spans="2:6">
      <c r="C420" s="16"/>
      <c r="D420" s="16"/>
      <c r="E420" s="16"/>
    </row>
    <row r="421" spans="2:6">
      <c r="C421" s="16"/>
      <c r="D421" s="16"/>
      <c r="F421" s="16"/>
    </row>
    <row r="422" spans="2:6">
      <c r="D422" s="16"/>
      <c r="F422" s="16"/>
    </row>
    <row r="423" spans="2:6">
      <c r="D423" s="16"/>
      <c r="E423" s="16"/>
    </row>
    <row r="424" spans="2:6">
      <c r="D424" s="16"/>
      <c r="E424" s="16"/>
    </row>
    <row r="425" spans="2:6">
      <c r="C425" s="16"/>
      <c r="D425" s="16"/>
    </row>
    <row r="426" spans="2:6">
      <c r="D426" s="16"/>
    </row>
    <row r="427" spans="2:6">
      <c r="D427" s="16"/>
    </row>
    <row r="428" spans="2:6">
      <c r="D428" s="16"/>
      <c r="E428" s="16"/>
    </row>
    <row r="429" spans="2:6">
      <c r="C429" s="16"/>
      <c r="D429" s="16"/>
      <c r="F429" s="16"/>
    </row>
    <row r="430" spans="2:6">
      <c r="D430" s="16"/>
      <c r="F430" s="16"/>
    </row>
    <row r="431" spans="2:6">
      <c r="D431" s="16"/>
      <c r="E431" s="16"/>
    </row>
    <row r="432" spans="2:6">
      <c r="D432" s="16"/>
      <c r="E432" s="16"/>
    </row>
    <row r="433" spans="3:6">
      <c r="C433" s="16"/>
      <c r="D433" s="16"/>
    </row>
    <row r="434" spans="3:6">
      <c r="D434" s="16"/>
    </row>
    <row r="435" spans="3:6">
      <c r="D435" s="16"/>
    </row>
    <row r="436" spans="3:6">
      <c r="D436" s="16"/>
      <c r="E436" s="16"/>
    </row>
    <row r="437" spans="3:6">
      <c r="C437" s="16"/>
      <c r="D437" s="16"/>
      <c r="F437" s="16"/>
    </row>
    <row r="438" spans="3:6">
      <c r="D438" s="16"/>
      <c r="F438" s="16"/>
    </row>
    <row r="439" spans="3:6">
      <c r="D439" s="16"/>
      <c r="E439" s="16"/>
    </row>
    <row r="440" spans="3:6">
      <c r="D440" s="16"/>
      <c r="E440" s="16"/>
    </row>
    <row r="441" spans="3:6">
      <c r="C441" s="16"/>
      <c r="D441" s="16"/>
    </row>
    <row r="442" spans="3:6">
      <c r="D442" s="16"/>
    </row>
    <row r="443" spans="3:6">
      <c r="D443" s="16"/>
    </row>
    <row r="444" spans="3:6">
      <c r="D444" s="16"/>
      <c r="E444" s="16"/>
    </row>
    <row r="445" spans="3:6">
      <c r="C445" s="16"/>
      <c r="D445" s="16"/>
      <c r="F445" s="16"/>
    </row>
    <row r="446" spans="3:6">
      <c r="D446" s="16"/>
      <c r="F446" s="16"/>
    </row>
    <row r="447" spans="3:6">
      <c r="D447" s="16"/>
      <c r="E447" s="16"/>
    </row>
    <row r="448" spans="3:6">
      <c r="D448" s="16"/>
      <c r="E448" s="16"/>
    </row>
    <row r="449" spans="3:6">
      <c r="C449" s="16"/>
      <c r="D449" s="16"/>
    </row>
    <row r="450" spans="3:6">
      <c r="D450" s="16"/>
    </row>
    <row r="451" spans="3:6">
      <c r="D451" s="16"/>
      <c r="E451" s="16"/>
    </row>
    <row r="452" spans="3:6">
      <c r="D452" s="16"/>
      <c r="E452" s="16"/>
    </row>
    <row r="453" spans="3:6">
      <c r="C453" s="16"/>
      <c r="D453" s="16"/>
    </row>
    <row r="454" spans="3:6">
      <c r="D454" s="16"/>
    </row>
    <row r="455" spans="3:6">
      <c r="D455" s="16"/>
      <c r="E455" s="16"/>
    </row>
    <row r="456" spans="3:6">
      <c r="D456" s="16"/>
      <c r="E456" s="16"/>
    </row>
    <row r="457" spans="3:6">
      <c r="C457" s="16"/>
      <c r="D457" s="16"/>
    </row>
    <row r="458" spans="3:6">
      <c r="D458" s="16"/>
    </row>
    <row r="459" spans="3:6">
      <c r="D459" s="16"/>
    </row>
    <row r="460" spans="3:6">
      <c r="D460" s="16"/>
      <c r="E460" s="16"/>
    </row>
    <row r="461" spans="3:6">
      <c r="C461" s="16"/>
      <c r="D461" s="16"/>
      <c r="F461" s="16"/>
    </row>
    <row r="462" spans="3:6">
      <c r="D462" s="16"/>
      <c r="F462" s="16"/>
    </row>
    <row r="463" spans="3:6">
      <c r="D463" s="16"/>
      <c r="E463" s="16"/>
    </row>
    <row r="464" spans="3:6">
      <c r="D464" s="16"/>
      <c r="E464" s="16"/>
    </row>
    <row r="465" spans="2:6">
      <c r="C465" s="16"/>
      <c r="D465" s="16"/>
    </row>
    <row r="466" spans="2:6">
      <c r="D466" s="16"/>
    </row>
    <row r="467" spans="2:6">
      <c r="D467" s="16"/>
    </row>
    <row r="468" spans="2:6">
      <c r="B468" s="16"/>
      <c r="E468" s="16"/>
    </row>
    <row r="469" spans="2:6">
      <c r="C469" s="16"/>
      <c r="F469" s="16"/>
    </row>
    <row r="470" spans="2:6">
      <c r="D470" s="16"/>
      <c r="F470" s="16"/>
    </row>
    <row r="471" spans="2:6">
      <c r="D471" s="16"/>
      <c r="E471" s="16"/>
    </row>
    <row r="472" spans="2:6">
      <c r="C472" s="16"/>
      <c r="E472" s="16"/>
    </row>
    <row r="473" spans="2:6">
      <c r="C473" s="16"/>
    </row>
    <row r="474" spans="2:6">
      <c r="D474" s="16"/>
    </row>
    <row r="475" spans="2:6">
      <c r="D475" s="16"/>
    </row>
    <row r="476" spans="2:6">
      <c r="E476" s="16"/>
    </row>
    <row r="477" spans="2:6">
      <c r="C477" s="16"/>
      <c r="F477" s="16"/>
    </row>
    <row r="478" spans="2:6">
      <c r="D478" s="16"/>
      <c r="F478" s="16"/>
    </row>
    <row r="479" spans="2:6">
      <c r="D479" s="16"/>
      <c r="E479" s="16"/>
    </row>
    <row r="480" spans="2:6">
      <c r="E480" s="16"/>
    </row>
    <row r="481" spans="3:6">
      <c r="C481" s="16"/>
    </row>
    <row r="482" spans="3:6">
      <c r="D482" s="16"/>
    </row>
    <row r="483" spans="3:6">
      <c r="D483" s="16"/>
      <c r="E483" s="16"/>
    </row>
    <row r="484" spans="3:6">
      <c r="E484" s="16"/>
    </row>
    <row r="485" spans="3:6">
      <c r="C485" s="16"/>
    </row>
    <row r="486" spans="3:6">
      <c r="D486" s="16"/>
    </row>
    <row r="487" spans="3:6">
      <c r="D487" s="16"/>
    </row>
    <row r="488" spans="3:6">
      <c r="E488" s="16"/>
    </row>
    <row r="489" spans="3:6">
      <c r="C489" s="16"/>
      <c r="F489" s="16"/>
    </row>
    <row r="490" spans="3:6">
      <c r="D490" s="16"/>
      <c r="F490" s="16"/>
    </row>
    <row r="491" spans="3:6">
      <c r="D491" s="16"/>
      <c r="E491" s="16"/>
    </row>
    <row r="492" spans="3:6">
      <c r="E492" s="16"/>
    </row>
    <row r="493" spans="3:6">
      <c r="C493" s="16"/>
      <c r="D493" s="16"/>
    </row>
    <row r="494" spans="3:6">
      <c r="D494" s="16"/>
    </row>
    <row r="495" spans="3:6">
      <c r="D495" s="16"/>
    </row>
    <row r="496" spans="3:6">
      <c r="C496" s="16"/>
    </row>
    <row r="497" spans="2:5">
      <c r="C497" s="16"/>
    </row>
    <row r="498" spans="2:5">
      <c r="B498" s="16"/>
      <c r="D498" s="16"/>
    </row>
    <row r="499" spans="2:5">
      <c r="D499" s="16"/>
      <c r="E499" s="16"/>
    </row>
    <row r="500" spans="2:5">
      <c r="C500" s="16"/>
      <c r="E500" s="16"/>
    </row>
    <row r="501" spans="2:5">
      <c r="D501" s="16"/>
    </row>
    <row r="502" spans="2:5">
      <c r="D502" s="16"/>
    </row>
    <row r="503" spans="2:5">
      <c r="D503" s="16"/>
      <c r="E503" s="16"/>
    </row>
    <row r="504" spans="2:5">
      <c r="C504" s="16"/>
      <c r="E504" s="16"/>
    </row>
    <row r="505" spans="2:5">
      <c r="D505" s="16"/>
    </row>
    <row r="506" spans="2:5">
      <c r="D506" s="16"/>
    </row>
    <row r="507" spans="2:5">
      <c r="D507" s="16"/>
      <c r="E507" s="16"/>
    </row>
    <row r="508" spans="2:5">
      <c r="C508" s="16"/>
      <c r="E508" s="16"/>
    </row>
    <row r="509" spans="2:5">
      <c r="D509" s="16"/>
    </row>
    <row r="510" spans="2:5">
      <c r="D510" s="16"/>
    </row>
    <row r="511" spans="2:5">
      <c r="D511" s="16"/>
      <c r="E511" s="16"/>
    </row>
    <row r="512" spans="2:5">
      <c r="C512" s="16"/>
      <c r="E512" s="16"/>
    </row>
    <row r="513" spans="3:5">
      <c r="D513" s="16"/>
    </row>
    <row r="514" spans="3:5">
      <c r="D514" s="16"/>
    </row>
    <row r="515" spans="3:5">
      <c r="E515" s="16"/>
    </row>
    <row r="516" spans="3:5">
      <c r="E516" s="16"/>
    </row>
    <row r="517" spans="3:5">
      <c r="D517" s="16"/>
    </row>
    <row r="518" spans="3:5">
      <c r="D518" s="16"/>
    </row>
    <row r="519" spans="3:5">
      <c r="E519" s="16"/>
    </row>
    <row r="520" spans="3:5">
      <c r="C520" s="16"/>
      <c r="E520" s="16"/>
    </row>
    <row r="521" spans="3:5">
      <c r="D521" s="16"/>
    </row>
    <row r="522" spans="3:5">
      <c r="D522" s="16"/>
    </row>
    <row r="523" spans="3:5">
      <c r="E523" s="16"/>
    </row>
    <row r="524" spans="3:5">
      <c r="E524" s="16"/>
    </row>
    <row r="525" spans="3:5">
      <c r="D525" s="16"/>
    </row>
    <row r="526" spans="3:5">
      <c r="D526" s="16"/>
    </row>
    <row r="527" spans="3:5">
      <c r="E527" s="16"/>
    </row>
    <row r="528" spans="3:5">
      <c r="C528" s="16"/>
      <c r="E528" s="16"/>
    </row>
    <row r="529" spans="3:5">
      <c r="D529" s="16"/>
    </row>
    <row r="530" spans="3:5">
      <c r="D530" s="16"/>
    </row>
    <row r="531" spans="3:5">
      <c r="D531" s="16"/>
      <c r="E531" s="16"/>
    </row>
    <row r="532" spans="3:5">
      <c r="C532" s="16"/>
      <c r="E532" s="16"/>
    </row>
    <row r="533" spans="3:5">
      <c r="D533" s="16"/>
    </row>
    <row r="534" spans="3:5">
      <c r="D534" s="16"/>
    </row>
    <row r="535" spans="3:5">
      <c r="E535" s="16"/>
    </row>
    <row r="536" spans="3:5">
      <c r="E536" s="16"/>
    </row>
    <row r="537" spans="3:5">
      <c r="C537" s="16"/>
    </row>
    <row r="538" spans="3:5">
      <c r="D538" s="16"/>
    </row>
    <row r="539" spans="3:5">
      <c r="E539" s="16"/>
    </row>
    <row r="540" spans="3:5">
      <c r="E540" s="16"/>
    </row>
    <row r="541" spans="3:5">
      <c r="D541" s="16"/>
    </row>
    <row r="542" spans="3:5">
      <c r="D542" s="16"/>
    </row>
    <row r="543" spans="3:5">
      <c r="E543" s="16"/>
    </row>
    <row r="544" spans="3:5">
      <c r="C544" s="16"/>
      <c r="E544" s="16"/>
    </row>
    <row r="545" spans="3:5">
      <c r="D545" s="16"/>
    </row>
    <row r="546" spans="3:5">
      <c r="D546" s="16"/>
    </row>
    <row r="547" spans="3:5">
      <c r="D547" s="16"/>
      <c r="E547" s="16"/>
    </row>
    <row r="548" spans="3:5">
      <c r="C548" s="16"/>
      <c r="E548" s="16"/>
    </row>
    <row r="549" spans="3:5">
      <c r="D549" s="16"/>
    </row>
    <row r="550" spans="3:5">
      <c r="D550" s="16"/>
    </row>
    <row r="551" spans="3:5">
      <c r="D551" s="16"/>
      <c r="E551" s="16"/>
    </row>
    <row r="552" spans="3:5">
      <c r="C552" s="16"/>
      <c r="E552" s="16"/>
    </row>
    <row r="553" spans="3:5">
      <c r="D553" s="16"/>
    </row>
    <row r="554" spans="3:5">
      <c r="D554" s="16"/>
    </row>
    <row r="555" spans="3:5">
      <c r="E555" s="16"/>
    </row>
    <row r="556" spans="3:5">
      <c r="E556" s="16"/>
    </row>
    <row r="557" spans="3:5">
      <c r="D557" s="16"/>
    </row>
    <row r="558" spans="3:5">
      <c r="D558" s="16"/>
    </row>
    <row r="559" spans="3:5">
      <c r="E559" s="16"/>
    </row>
    <row r="560" spans="3:5">
      <c r="C560" s="16"/>
      <c r="E560" s="16"/>
    </row>
    <row r="561" spans="3:5">
      <c r="D561" s="16"/>
    </row>
    <row r="562" spans="3:5">
      <c r="D562" s="16"/>
    </row>
    <row r="563" spans="3:5">
      <c r="E563" s="16"/>
    </row>
    <row r="564" spans="3:5">
      <c r="C564" s="16"/>
      <c r="E564" s="16"/>
    </row>
    <row r="565" spans="3:5">
      <c r="D565" s="16"/>
    </row>
    <row r="566" spans="3:5">
      <c r="D566" s="16"/>
    </row>
    <row r="567" spans="3:5">
      <c r="E567" s="16"/>
    </row>
    <row r="568" spans="3:5">
      <c r="C568" s="16"/>
      <c r="E568" s="16"/>
    </row>
    <row r="569" spans="3:5">
      <c r="D569" s="16"/>
    </row>
    <row r="570" spans="3:5">
      <c r="D570" s="16"/>
    </row>
    <row r="571" spans="3:5">
      <c r="E571" s="16"/>
    </row>
    <row r="572" spans="3:5">
      <c r="C572" s="16"/>
      <c r="E572" s="16"/>
    </row>
    <row r="573" spans="3:5">
      <c r="D573" s="16"/>
    </row>
    <row r="574" spans="3:5">
      <c r="D574" s="16"/>
    </row>
    <row r="575" spans="3:5">
      <c r="E575" s="16"/>
    </row>
    <row r="576" spans="3:5">
      <c r="E576" s="16"/>
    </row>
    <row r="577" spans="3:5">
      <c r="D577" s="16"/>
    </row>
    <row r="578" spans="3:5">
      <c r="D578" s="16"/>
    </row>
    <row r="579" spans="3:5">
      <c r="E579" s="16"/>
    </row>
    <row r="580" spans="3:5">
      <c r="C580" s="16"/>
      <c r="E580" s="16"/>
    </row>
    <row r="581" spans="3:5">
      <c r="D581" s="16"/>
    </row>
    <row r="582" spans="3:5">
      <c r="D582" s="16"/>
    </row>
    <row r="583" spans="3:5">
      <c r="E583" s="16"/>
    </row>
    <row r="584" spans="3:5">
      <c r="E584" s="16"/>
    </row>
    <row r="585" spans="3:5">
      <c r="D585" s="16"/>
    </row>
    <row r="586" spans="3:5">
      <c r="D586" s="16"/>
    </row>
    <row r="587" spans="3:5">
      <c r="E587" s="16"/>
    </row>
    <row r="588" spans="3:5">
      <c r="C588" s="16"/>
      <c r="E588" s="16"/>
    </row>
    <row r="589" spans="3:5">
      <c r="D589" s="16"/>
    </row>
    <row r="590" spans="3:5">
      <c r="D590" s="16"/>
    </row>
    <row r="591" spans="3:5">
      <c r="D591" s="16"/>
    </row>
    <row r="592" spans="3:5">
      <c r="C592" s="16"/>
      <c r="D592" s="16"/>
    </row>
    <row r="593" spans="3:5">
      <c r="D593" s="16"/>
    </row>
    <row r="594" spans="3:5">
      <c r="D594" s="16"/>
    </row>
    <row r="596" spans="3:5">
      <c r="C596" s="16"/>
      <c r="D596" s="16"/>
    </row>
    <row r="597" spans="3:5">
      <c r="D597" s="16"/>
      <c r="E597" s="16"/>
    </row>
    <row r="598" spans="3:5">
      <c r="D598" s="16"/>
      <c r="E598" s="16"/>
    </row>
    <row r="599" spans="3:5">
      <c r="E599" s="16"/>
    </row>
    <row r="600" spans="3:5">
      <c r="E600" s="16"/>
    </row>
    <row r="601" spans="3:5">
      <c r="D601" s="16"/>
      <c r="E601" s="16"/>
    </row>
    <row r="602" spans="3:5">
      <c r="D602" s="16"/>
      <c r="E602" s="16"/>
    </row>
    <row r="603" spans="3:5">
      <c r="E603" s="16"/>
    </row>
    <row r="604" spans="3:5">
      <c r="C604" s="16"/>
      <c r="E604" s="16"/>
    </row>
    <row r="605" spans="3:5">
      <c r="D605" s="16"/>
      <c r="E605" s="16"/>
    </row>
    <row r="606" spans="3:5">
      <c r="D606" s="16"/>
      <c r="E606" s="16"/>
    </row>
    <row r="608" spans="3:5">
      <c r="C608" s="16"/>
      <c r="D608" s="16"/>
    </row>
    <row r="609" spans="3:5">
      <c r="D609" s="16"/>
      <c r="E609" s="16"/>
    </row>
    <row r="610" spans="3:5">
      <c r="D610" s="16"/>
      <c r="E610" s="16"/>
    </row>
    <row r="611" spans="3:5">
      <c r="E611" s="16"/>
    </row>
    <row r="612" spans="3:5">
      <c r="E612" s="16"/>
    </row>
    <row r="613" spans="3:5">
      <c r="D613" s="16"/>
      <c r="E613" s="16"/>
    </row>
    <row r="614" spans="3:5">
      <c r="D614" s="16"/>
      <c r="E614" s="16"/>
    </row>
    <row r="615" spans="3:5">
      <c r="E615" s="16"/>
    </row>
    <row r="616" spans="3:5">
      <c r="C616" s="16"/>
      <c r="E616" s="16"/>
    </row>
    <row r="617" spans="3:5">
      <c r="D617" s="16"/>
      <c r="E617" s="16"/>
    </row>
    <row r="618" spans="3:5">
      <c r="D618" s="16"/>
      <c r="E618" s="16"/>
    </row>
    <row r="620" spans="3:5">
      <c r="C620" s="16"/>
      <c r="D620" s="16"/>
    </row>
    <row r="621" spans="3:5">
      <c r="D621" s="16"/>
      <c r="E621" s="16"/>
    </row>
    <row r="622" spans="3:5">
      <c r="D622" s="16"/>
      <c r="E622" s="16"/>
    </row>
    <row r="623" spans="3:5">
      <c r="E623" s="16"/>
    </row>
    <row r="624" spans="3:5">
      <c r="E624" s="16"/>
    </row>
    <row r="625" spans="3:5">
      <c r="D625" s="16"/>
      <c r="E625" s="16"/>
    </row>
    <row r="626" spans="3:5">
      <c r="D626" s="16"/>
      <c r="E626" s="16"/>
    </row>
    <row r="627" spans="3:5">
      <c r="C627" s="16"/>
      <c r="E627" s="16"/>
    </row>
    <row r="628" spans="3:5">
      <c r="C628" s="16"/>
      <c r="E628" s="16"/>
    </row>
    <row r="629" spans="3:5">
      <c r="C629" s="16"/>
      <c r="D629" s="16"/>
      <c r="E629" s="16"/>
    </row>
    <row r="630" spans="3:5">
      <c r="C630" s="16"/>
      <c r="D630" s="16"/>
      <c r="E630" s="16"/>
    </row>
    <row r="631" spans="3:5">
      <c r="C631" s="16"/>
    </row>
    <row r="632" spans="3:5">
      <c r="C632" s="16"/>
      <c r="D632" s="16"/>
    </row>
    <row r="633" spans="3:5">
      <c r="C633" s="16"/>
      <c r="D633" s="16"/>
      <c r="E633" s="16"/>
    </row>
    <row r="634" spans="3:5">
      <c r="C634" s="16"/>
      <c r="D634" s="16"/>
      <c r="E634" s="16"/>
    </row>
    <row r="636" spans="3:5">
      <c r="C636" s="16"/>
      <c r="D636" s="16"/>
    </row>
    <row r="637" spans="3:5">
      <c r="D637" s="16"/>
      <c r="E637" s="16"/>
    </row>
    <row r="638" spans="3:5">
      <c r="D638" s="16"/>
      <c r="E638" s="16"/>
    </row>
    <row r="640" spans="3:5">
      <c r="C640" s="16"/>
      <c r="D640" s="16"/>
    </row>
    <row r="641" spans="3:5">
      <c r="D641" s="16"/>
      <c r="E641" s="16"/>
    </row>
    <row r="642" spans="3:5">
      <c r="D642" s="16"/>
      <c r="E642" s="16"/>
    </row>
    <row r="644" spans="3:5">
      <c r="C644" s="16"/>
      <c r="D644" s="16"/>
    </row>
    <row r="645" spans="3:5">
      <c r="E645" s="16"/>
    </row>
    <row r="646" spans="3:5">
      <c r="D646" s="16"/>
      <c r="E646" s="16"/>
    </row>
    <row r="647" spans="3:5">
      <c r="E647" s="16"/>
    </row>
    <row r="648" spans="3:5">
      <c r="E648" s="16"/>
    </row>
    <row r="649" spans="3:5">
      <c r="D649" s="16"/>
      <c r="E649" s="16"/>
    </row>
    <row r="650" spans="3:5">
      <c r="D650" s="16"/>
      <c r="E650" s="16"/>
    </row>
    <row r="652" spans="3:5">
      <c r="C652" s="16"/>
      <c r="D652" s="16"/>
    </row>
    <row r="653" spans="3:5">
      <c r="E653" s="16"/>
    </row>
    <row r="654" spans="3:5">
      <c r="D654" s="16"/>
      <c r="E654" s="16"/>
    </row>
    <row r="655" spans="3:5">
      <c r="E655" s="16"/>
    </row>
    <row r="656" spans="3:5">
      <c r="E656" s="16"/>
    </row>
    <row r="657" spans="3:5">
      <c r="D657" s="16"/>
      <c r="E657" s="16"/>
    </row>
    <row r="658" spans="3:5">
      <c r="D658" s="16"/>
      <c r="E658" s="16"/>
    </row>
    <row r="660" spans="3:5">
      <c r="C660" s="16"/>
      <c r="D660" s="16"/>
    </row>
    <row r="661" spans="3:5">
      <c r="D661" s="16"/>
      <c r="E661" s="16"/>
    </row>
    <row r="662" spans="3:5">
      <c r="D662" s="16"/>
      <c r="E662" s="16"/>
    </row>
    <row r="664" spans="3:5">
      <c r="C664" s="16"/>
      <c r="D664" s="16"/>
    </row>
    <row r="665" spans="3:5">
      <c r="D665" s="16"/>
      <c r="E665" s="16"/>
    </row>
    <row r="666" spans="3:5">
      <c r="D666" s="16"/>
      <c r="E666" s="16"/>
    </row>
    <row r="668" spans="3:5">
      <c r="C668" s="16"/>
      <c r="D668" s="16"/>
    </row>
    <row r="669" spans="3:5">
      <c r="E669" s="16"/>
    </row>
    <row r="670" spans="3:5">
      <c r="D670" s="16"/>
      <c r="E670" s="16"/>
    </row>
    <row r="671" spans="3:5">
      <c r="E671" s="16"/>
    </row>
    <row r="672" spans="3:5">
      <c r="E672" s="16"/>
    </row>
    <row r="673" spans="3:5">
      <c r="D673" s="16"/>
      <c r="E673" s="16"/>
    </row>
    <row r="674" spans="3:5">
      <c r="D674" s="16"/>
      <c r="E674" s="16"/>
    </row>
    <row r="676" spans="3:5">
      <c r="C676" s="16"/>
      <c r="D676" s="16"/>
    </row>
    <row r="677" spans="3:5">
      <c r="D677" s="16"/>
      <c r="E677" s="16"/>
    </row>
    <row r="678" spans="3:5">
      <c r="D678" s="16"/>
      <c r="E678" s="16"/>
    </row>
    <row r="679" spans="3:5">
      <c r="D679" s="16"/>
    </row>
    <row r="680" spans="3:5">
      <c r="C680" s="16"/>
    </row>
    <row r="681" spans="3:5">
      <c r="C681" s="16"/>
    </row>
    <row r="682" spans="3:5">
      <c r="D682" s="16"/>
    </row>
    <row r="683" spans="3:5">
      <c r="E683" s="16"/>
    </row>
    <row r="684" spans="3:5">
      <c r="E684" s="16"/>
    </row>
    <row r="685" spans="3:5">
      <c r="D685" s="16"/>
      <c r="E685" s="16"/>
    </row>
    <row r="686" spans="3:5">
      <c r="D686" s="16"/>
    </row>
    <row r="687" spans="3:5">
      <c r="D687" s="16"/>
    </row>
    <row r="688" spans="3:5">
      <c r="C688" s="16"/>
      <c r="E688" s="16"/>
    </row>
    <row r="689" spans="1:6">
      <c r="D689" s="16"/>
      <c r="E689" s="16"/>
    </row>
    <row r="690" spans="1:6">
      <c r="D690" s="16"/>
    </row>
    <row r="691" spans="1:6">
      <c r="D691" s="16"/>
    </row>
    <row r="692" spans="1:6">
      <c r="C692" s="16"/>
      <c r="E692" s="16"/>
    </row>
    <row r="693" spans="1:6">
      <c r="E693" s="16"/>
    </row>
    <row r="694" spans="1:6">
      <c r="D694" s="16"/>
    </row>
    <row r="695" spans="1:6">
      <c r="E695" s="16"/>
    </row>
    <row r="696" spans="1:6">
      <c r="E696" s="16"/>
    </row>
    <row r="697" spans="1:6">
      <c r="D697" s="16"/>
      <c r="E697" s="16"/>
    </row>
    <row r="698" spans="1:6">
      <c r="D698" s="16"/>
      <c r="F698" s="16"/>
    </row>
    <row r="699" spans="1:6">
      <c r="C699" s="16"/>
      <c r="F699" s="16"/>
    </row>
    <row r="700" spans="1:6">
      <c r="C700" s="16"/>
      <c r="E700" s="16"/>
    </row>
    <row r="701" spans="1:6">
      <c r="C701" s="16"/>
      <c r="E701" s="16"/>
    </row>
    <row r="702" spans="1:6">
      <c r="C702" s="16"/>
    </row>
    <row r="703" spans="1:6">
      <c r="D703" s="16"/>
    </row>
    <row r="704" spans="1:6">
      <c r="A704" s="16"/>
    </row>
    <row r="705" spans="2:6">
      <c r="E705" s="16"/>
    </row>
    <row r="706" spans="2:6">
      <c r="B706" s="16"/>
      <c r="F706" s="16"/>
    </row>
    <row r="707" spans="2:6">
      <c r="F707" s="16"/>
    </row>
    <row r="708" spans="2:6">
      <c r="B708" s="16"/>
      <c r="E708" s="16"/>
    </row>
    <row r="709" spans="2:6">
      <c r="C709" s="16"/>
      <c r="E709" s="16"/>
    </row>
    <row r="710" spans="2:6">
      <c r="C710" s="16"/>
    </row>
    <row r="711" spans="2:6">
      <c r="C711" s="16"/>
      <c r="D711" s="16"/>
    </row>
    <row r="712" spans="2:6">
      <c r="C712" s="16"/>
      <c r="E712" s="16"/>
    </row>
    <row r="713" spans="2:6">
      <c r="C713" s="16"/>
      <c r="E713" s="16"/>
    </row>
    <row r="715" spans="2:6">
      <c r="B715" s="16"/>
      <c r="D715" s="16"/>
    </row>
    <row r="717" spans="2:6">
      <c r="C717" s="16"/>
      <c r="E717" s="16"/>
    </row>
    <row r="718" spans="2:6">
      <c r="D718" s="16"/>
      <c r="F718" s="16"/>
    </row>
    <row r="719" spans="2:6">
      <c r="D719" s="16"/>
      <c r="F719" s="16"/>
    </row>
    <row r="720" spans="2:6">
      <c r="C720" s="16"/>
    </row>
    <row r="721" spans="2:6">
      <c r="C721" s="16"/>
      <c r="E721" s="16"/>
    </row>
    <row r="722" spans="2:6">
      <c r="C722" s="16"/>
      <c r="F722" s="16"/>
    </row>
    <row r="723" spans="2:6">
      <c r="C723" s="16"/>
      <c r="F723" s="16"/>
    </row>
    <row r="724" spans="2:6">
      <c r="C724" s="16"/>
      <c r="E724" s="16"/>
    </row>
    <row r="725" spans="2:6">
      <c r="E725" s="16"/>
    </row>
    <row r="726" spans="2:6">
      <c r="B726" s="16"/>
    </row>
    <row r="727" spans="2:6">
      <c r="C727" s="16"/>
      <c r="D727" s="16"/>
    </row>
    <row r="728" spans="2:6">
      <c r="C728" s="16"/>
      <c r="E728" s="16"/>
    </row>
    <row r="729" spans="2:6">
      <c r="C729" s="16"/>
      <c r="E729" s="16"/>
    </row>
    <row r="730" spans="2:6">
      <c r="C730" s="16"/>
    </row>
    <row r="731" spans="2:6">
      <c r="D731" s="16"/>
    </row>
    <row r="732" spans="2:6">
      <c r="B732" s="16"/>
      <c r="E732" s="16"/>
    </row>
    <row r="733" spans="2:6">
      <c r="C733" s="16"/>
      <c r="E733" s="16"/>
    </row>
    <row r="734" spans="2:6">
      <c r="C734" s="16"/>
    </row>
    <row r="735" spans="2:6">
      <c r="C735" s="16"/>
      <c r="D735" s="16"/>
    </row>
    <row r="736" spans="2:6">
      <c r="C736" s="16"/>
      <c r="E736" s="16"/>
    </row>
    <row r="737" spans="2:6">
      <c r="C737" s="16"/>
      <c r="E737" s="16"/>
    </row>
    <row r="738" spans="2:6">
      <c r="C738" s="16"/>
    </row>
    <row r="739" spans="2:6">
      <c r="C739" s="16"/>
      <c r="D739" s="16"/>
    </row>
    <row r="740" spans="2:6">
      <c r="C740" s="16"/>
      <c r="E740" s="16"/>
    </row>
    <row r="741" spans="2:6">
      <c r="E741" s="16"/>
    </row>
    <row r="742" spans="2:6">
      <c r="B742" s="16"/>
    </row>
    <row r="743" spans="2:6">
      <c r="C743" s="16"/>
      <c r="D743" s="16"/>
    </row>
    <row r="744" spans="2:6">
      <c r="C744" s="16"/>
    </row>
    <row r="745" spans="2:6">
      <c r="E745" s="16"/>
    </row>
    <row r="746" spans="2:6">
      <c r="B746" s="16"/>
      <c r="F746" s="16"/>
    </row>
    <row r="747" spans="2:6">
      <c r="C747" s="16"/>
      <c r="F747" s="16"/>
    </row>
    <row r="748" spans="2:6">
      <c r="C748" s="16"/>
      <c r="E748" s="16"/>
    </row>
    <row r="749" spans="2:6">
      <c r="C749" s="16"/>
      <c r="E749" s="16"/>
    </row>
    <row r="750" spans="2:6">
      <c r="C750" s="16"/>
    </row>
    <row r="751" spans="2:6">
      <c r="D751" s="16"/>
    </row>
    <row r="752" spans="2:6">
      <c r="B752" s="16"/>
      <c r="E752" s="16"/>
    </row>
    <row r="753" spans="2:6">
      <c r="C753" s="16"/>
      <c r="E753" s="16"/>
    </row>
    <row r="754" spans="2:6">
      <c r="C754" s="16"/>
    </row>
    <row r="755" spans="2:6">
      <c r="D755" s="16"/>
    </row>
    <row r="756" spans="2:6">
      <c r="B756" s="16"/>
      <c r="E756" s="16"/>
    </row>
    <row r="757" spans="2:6">
      <c r="C757" s="16"/>
      <c r="E757" s="16"/>
    </row>
    <row r="758" spans="2:6">
      <c r="C758" s="16"/>
    </row>
    <row r="759" spans="2:6">
      <c r="C759" s="16"/>
      <c r="D759" s="16"/>
    </row>
    <row r="760" spans="2:6">
      <c r="C760" s="16"/>
      <c r="E760" s="16"/>
    </row>
    <row r="761" spans="2:6">
      <c r="E761" s="16"/>
    </row>
    <row r="762" spans="2:6">
      <c r="B762" s="16"/>
    </row>
    <row r="763" spans="2:6">
      <c r="C763" s="16"/>
      <c r="D763" s="16"/>
    </row>
    <row r="764" spans="2:6">
      <c r="C764" s="16"/>
    </row>
    <row r="765" spans="2:6">
      <c r="C765" s="16"/>
      <c r="E765" s="16"/>
    </row>
    <row r="766" spans="2:6">
      <c r="C766" s="16"/>
      <c r="F766" s="16"/>
    </row>
    <row r="767" spans="2:6">
      <c r="C767" s="16"/>
      <c r="F767" s="16"/>
    </row>
    <row r="768" spans="2:6">
      <c r="C768" s="16"/>
      <c r="E768" s="16"/>
    </row>
    <row r="769" spans="2:6">
      <c r="C769" s="16"/>
      <c r="E769" s="16"/>
    </row>
    <row r="770" spans="2:6">
      <c r="C770" s="16"/>
    </row>
    <row r="771" spans="2:6">
      <c r="C771" s="16"/>
      <c r="D771" s="16"/>
    </row>
    <row r="773" spans="2:6">
      <c r="B773" s="16"/>
      <c r="E773" s="16"/>
    </row>
    <row r="774" spans="2:6">
      <c r="C774" s="16"/>
      <c r="F774" s="16"/>
    </row>
    <row r="775" spans="2:6">
      <c r="C775" s="16"/>
      <c r="F775" s="16"/>
    </row>
    <row r="776" spans="2:6">
      <c r="C776" s="16"/>
      <c r="E776" s="16"/>
    </row>
    <row r="777" spans="2:6">
      <c r="C777" s="16"/>
      <c r="E777" s="16"/>
    </row>
    <row r="778" spans="2:6">
      <c r="C778" s="16"/>
    </row>
    <row r="779" spans="2:6">
      <c r="C779" s="16"/>
      <c r="D779" s="16"/>
    </row>
    <row r="780" spans="2:6">
      <c r="C780" s="16"/>
      <c r="E780" s="16"/>
    </row>
    <row r="781" spans="2:6">
      <c r="C781" s="16"/>
      <c r="E781" s="16"/>
    </row>
    <row r="783" spans="2:6">
      <c r="B783" s="16"/>
      <c r="D783" s="16"/>
    </row>
    <row r="784" spans="2:6">
      <c r="C784" s="16"/>
      <c r="E784" s="16"/>
    </row>
    <row r="785" spans="2:6">
      <c r="C785" s="16"/>
      <c r="E785" s="16"/>
    </row>
    <row r="787" spans="2:6">
      <c r="B787" s="16"/>
      <c r="D787" s="16"/>
    </row>
    <row r="788" spans="2:6">
      <c r="C788" s="16"/>
    </row>
    <row r="789" spans="2:6">
      <c r="C789" s="16"/>
      <c r="E789" s="16"/>
    </row>
    <row r="790" spans="2:6">
      <c r="C790" s="16"/>
      <c r="F790" s="16"/>
    </row>
    <row r="791" spans="2:6">
      <c r="C791" s="16"/>
      <c r="F791" s="16"/>
    </row>
    <row r="792" spans="2:6">
      <c r="C792" s="16"/>
      <c r="E792" s="16"/>
    </row>
    <row r="793" spans="2:6">
      <c r="C793" s="16"/>
      <c r="E793" s="16"/>
    </row>
    <row r="794" spans="2:6">
      <c r="C794" s="16"/>
    </row>
    <row r="795" spans="2:6">
      <c r="C795" s="16"/>
      <c r="D795" s="16"/>
    </row>
    <row r="796" spans="2:6">
      <c r="C796" s="16"/>
      <c r="E796" s="16"/>
    </row>
    <row r="797" spans="2:6">
      <c r="C797" s="16"/>
      <c r="E797" s="16"/>
    </row>
    <row r="798" spans="2:6">
      <c r="C798" s="16"/>
    </row>
    <row r="799" spans="2:6">
      <c r="C799" s="16"/>
      <c r="D799" s="16"/>
    </row>
    <row r="800" spans="2:6">
      <c r="B800" s="16"/>
    </row>
    <row r="801" spans="4:6">
      <c r="E801" s="16"/>
    </row>
    <row r="802" spans="4:6">
      <c r="F802" s="16"/>
    </row>
    <row r="803" spans="4:6">
      <c r="F803" s="16"/>
    </row>
    <row r="804" spans="4:6">
      <c r="E804" s="16"/>
    </row>
    <row r="805" spans="4:6">
      <c r="E805" s="16"/>
    </row>
    <row r="807" spans="4:6">
      <c r="D807" s="16"/>
    </row>
    <row r="808" spans="4:6">
      <c r="E808" s="16"/>
    </row>
    <row r="809" spans="4:6">
      <c r="E809" s="16"/>
    </row>
    <row r="811" spans="4:6">
      <c r="D811" s="16"/>
    </row>
    <row r="813" spans="4:6">
      <c r="E813" s="16"/>
    </row>
    <row r="814" spans="4:6">
      <c r="F814" s="16"/>
    </row>
    <row r="815" spans="4:6">
      <c r="F815" s="16"/>
    </row>
    <row r="816" spans="4:6">
      <c r="E816" s="16"/>
    </row>
    <row r="817" spans="2:5">
      <c r="E817" s="16"/>
    </row>
    <row r="818" spans="2:5">
      <c r="D818" s="16"/>
    </row>
    <row r="819" spans="2:5">
      <c r="D819" s="16"/>
    </row>
    <row r="820" spans="2:5">
      <c r="D820" s="16"/>
    </row>
    <row r="821" spans="2:5">
      <c r="D821" s="16"/>
    </row>
    <row r="823" spans="2:5">
      <c r="B823" s="16"/>
    </row>
    <row r="825" spans="2:5">
      <c r="C825" s="16"/>
    </row>
    <row r="826" spans="2:5">
      <c r="D826" s="16"/>
    </row>
    <row r="827" spans="2:5">
      <c r="D827" s="16"/>
    </row>
    <row r="828" spans="2:5">
      <c r="D828" s="16"/>
    </row>
    <row r="829" spans="2:5">
      <c r="D829" s="16"/>
    </row>
    <row r="830" spans="2:5">
      <c r="C830" s="16"/>
    </row>
    <row r="831" spans="2:5">
      <c r="C831" s="16"/>
    </row>
    <row r="832" spans="2:5">
      <c r="C832" s="16"/>
    </row>
    <row r="834" spans="2:3">
      <c r="B834" s="16"/>
    </row>
    <row r="835" spans="2:3">
      <c r="C835" s="16"/>
    </row>
    <row r="836" spans="2:3">
      <c r="C836" s="16"/>
    </row>
    <row r="837" spans="2:3">
      <c r="C837" s="16"/>
    </row>
    <row r="839" spans="2:3">
      <c r="B839" s="16"/>
    </row>
    <row r="840" spans="2:3">
      <c r="C840" s="16"/>
    </row>
    <row r="841" spans="2:3">
      <c r="C841" s="16"/>
    </row>
    <row r="842" spans="2:3">
      <c r="C842" s="16"/>
    </row>
    <row r="843" spans="2:3">
      <c r="C843" s="16"/>
    </row>
    <row r="844" spans="2:3">
      <c r="C844" s="16"/>
    </row>
    <row r="845" spans="2:3">
      <c r="C845" s="16"/>
    </row>
    <row r="847" spans="2:3">
      <c r="B847" s="16"/>
    </row>
    <row r="848" spans="2:3">
      <c r="C848" s="16"/>
    </row>
    <row r="849" spans="2:4">
      <c r="C849" s="16"/>
    </row>
    <row r="850" spans="2:4">
      <c r="C850" s="16"/>
    </row>
    <row r="851" spans="2:4">
      <c r="C851" s="16"/>
    </row>
    <row r="852" spans="2:4">
      <c r="C852" s="16"/>
    </row>
    <row r="853" spans="2:4">
      <c r="C853" s="16"/>
    </row>
    <row r="854" spans="2:4">
      <c r="C854" s="16"/>
    </row>
    <row r="855" spans="2:4">
      <c r="C855" s="16"/>
    </row>
    <row r="856" spans="2:4">
      <c r="C856" s="16"/>
    </row>
    <row r="858" spans="2:4">
      <c r="B858" s="16"/>
    </row>
    <row r="860" spans="2:4">
      <c r="C860" s="16"/>
    </row>
    <row r="862" spans="2:4">
      <c r="C862" s="16"/>
    </row>
    <row r="863" spans="2:4">
      <c r="D863" s="16"/>
    </row>
    <row r="864" spans="2:4">
      <c r="D864" s="16"/>
    </row>
    <row r="865" spans="3:5">
      <c r="D865" s="16"/>
    </row>
    <row r="866" spans="3:5">
      <c r="D866" s="16"/>
    </row>
    <row r="867" spans="3:5">
      <c r="D867" s="16"/>
    </row>
    <row r="869" spans="3:5">
      <c r="C869" s="16"/>
    </row>
    <row r="871" spans="3:5">
      <c r="D871" s="16"/>
    </row>
    <row r="872" spans="3:5">
      <c r="E872" s="16"/>
    </row>
    <row r="873" spans="3:5">
      <c r="E873" s="16"/>
    </row>
    <row r="874" spans="3:5">
      <c r="D874" s="16"/>
    </row>
    <row r="875" spans="3:5">
      <c r="D875" s="16"/>
    </row>
    <row r="876" spans="3:5">
      <c r="D876" s="16"/>
    </row>
    <row r="877" spans="3:5">
      <c r="D877" s="16"/>
    </row>
    <row r="878" spans="3:5">
      <c r="D878" s="16"/>
    </row>
    <row r="880" spans="3:5">
      <c r="C880" s="16"/>
    </row>
    <row r="881" spans="3:4">
      <c r="D881" s="16"/>
    </row>
    <row r="882" spans="3:4">
      <c r="D882" s="16"/>
    </row>
    <row r="883" spans="3:4">
      <c r="D883" s="16"/>
    </row>
    <row r="884" spans="3:4">
      <c r="D884" s="16"/>
    </row>
    <row r="886" spans="3:4">
      <c r="C886" s="16"/>
    </row>
    <row r="887" spans="3:4">
      <c r="D887" s="16"/>
    </row>
    <row r="888" spans="3:4">
      <c r="D888" s="16"/>
    </row>
    <row r="889" spans="3:4">
      <c r="D889" s="16"/>
    </row>
    <row r="890" spans="3:4">
      <c r="D890" s="16"/>
    </row>
    <row r="891" spans="3:4">
      <c r="D891" s="16"/>
    </row>
    <row r="892" spans="3:4">
      <c r="D892" s="16"/>
    </row>
    <row r="893" spans="3:4">
      <c r="D893" s="16"/>
    </row>
    <row r="894" spans="3:4">
      <c r="D894" s="16"/>
    </row>
    <row r="896" spans="3:4">
      <c r="C896" s="16"/>
    </row>
    <row r="897" spans="3:4">
      <c r="D897" s="16"/>
    </row>
    <row r="898" spans="3:4">
      <c r="D898" s="16"/>
    </row>
    <row r="900" spans="3:4">
      <c r="C900" s="16"/>
    </row>
    <row r="901" spans="3:4">
      <c r="D901" s="16"/>
    </row>
    <row r="902" spans="3:4">
      <c r="D902" s="16"/>
    </row>
    <row r="903" spans="3:4">
      <c r="D903" s="16"/>
    </row>
    <row r="904" spans="3:4">
      <c r="D904" s="16"/>
    </row>
    <row r="906" spans="3:4">
      <c r="C906" s="16"/>
    </row>
    <row r="907" spans="3:4">
      <c r="D907" s="16"/>
    </row>
    <row r="908" spans="3:4">
      <c r="D908" s="16"/>
    </row>
    <row r="910" spans="3:4">
      <c r="C910" s="16"/>
    </row>
    <row r="911" spans="3:4">
      <c r="D911" s="16"/>
    </row>
    <row r="912" spans="3:4">
      <c r="D912" s="16"/>
    </row>
    <row r="913" spans="3:4">
      <c r="D913" s="16"/>
    </row>
    <row r="914" spans="3:4">
      <c r="D914" s="16"/>
    </row>
    <row r="916" spans="3:4">
      <c r="C916" s="16"/>
    </row>
    <row r="917" spans="3:4">
      <c r="D917" s="16"/>
    </row>
    <row r="918" spans="3:4">
      <c r="D918" s="16"/>
    </row>
    <row r="919" spans="3:4">
      <c r="D919" s="16"/>
    </row>
    <row r="920" spans="3:4">
      <c r="D920" s="16"/>
    </row>
    <row r="921" spans="3:4">
      <c r="D921" s="16"/>
    </row>
    <row r="922" spans="3:4">
      <c r="D922" s="16"/>
    </row>
    <row r="923" spans="3:4">
      <c r="D923" s="16"/>
    </row>
    <row r="924" spans="3:4">
      <c r="D924" s="16"/>
    </row>
    <row r="925" spans="3:4">
      <c r="D925" s="16"/>
    </row>
    <row r="927" spans="3:4">
      <c r="C927" s="16"/>
    </row>
    <row r="928" spans="3:4">
      <c r="D928" s="16"/>
    </row>
    <row r="929" spans="3:4">
      <c r="D929" s="16"/>
    </row>
    <row r="930" spans="3:4">
      <c r="D930" s="16"/>
    </row>
    <row r="931" spans="3:4">
      <c r="D931" s="16"/>
    </row>
    <row r="932" spans="3:4">
      <c r="D932" s="16"/>
    </row>
    <row r="933" spans="3:4">
      <c r="D933" s="16"/>
    </row>
    <row r="934" spans="3:4">
      <c r="D934" s="16"/>
    </row>
    <row r="935" spans="3:4">
      <c r="D935" s="16"/>
    </row>
    <row r="936" spans="3:4">
      <c r="D936" s="16"/>
    </row>
    <row r="938" spans="3:4">
      <c r="C938" s="16"/>
    </row>
    <row r="939" spans="3:4">
      <c r="D939" s="16"/>
    </row>
    <row r="940" spans="3:4">
      <c r="D940" s="16"/>
    </row>
    <row r="942" spans="3:4">
      <c r="C942" s="16"/>
    </row>
    <row r="943" spans="3:4">
      <c r="D943" s="16"/>
    </row>
    <row r="944" spans="3:4">
      <c r="D944" s="16"/>
    </row>
    <row r="945" spans="2:4">
      <c r="D945" s="16"/>
    </row>
    <row r="946" spans="2:4">
      <c r="D946" s="16"/>
    </row>
    <row r="947" spans="2:4">
      <c r="D947" s="16"/>
    </row>
    <row r="948" spans="2:4">
      <c r="D948" s="16"/>
    </row>
    <row r="949" spans="2:4">
      <c r="D949" s="16"/>
    </row>
    <row r="950" spans="2:4">
      <c r="D950" s="16"/>
    </row>
    <row r="951" spans="2:4">
      <c r="D951" s="16"/>
    </row>
    <row r="952" spans="2:4">
      <c r="D952" s="16"/>
    </row>
    <row r="953" spans="2:4">
      <c r="D953" s="16"/>
    </row>
    <row r="954" spans="2:4">
      <c r="D954" s="16"/>
    </row>
    <row r="955" spans="2:4">
      <c r="C955" s="16"/>
    </row>
    <row r="957" spans="2:4">
      <c r="B957" s="16"/>
    </row>
    <row r="959" spans="2:4">
      <c r="C959" s="16"/>
    </row>
    <row r="960" spans="2:4">
      <c r="D960" s="16"/>
    </row>
    <row r="961" spans="2:4">
      <c r="C961" s="16"/>
    </row>
    <row r="962" spans="2:4">
      <c r="C962" s="16"/>
    </row>
    <row r="963" spans="2:4">
      <c r="C963" s="16"/>
    </row>
    <row r="964" spans="2:4">
      <c r="C964" s="16"/>
    </row>
    <row r="965" spans="2:4">
      <c r="C965" s="16"/>
    </row>
    <row r="967" spans="2:4">
      <c r="B967" s="16"/>
    </row>
    <row r="969" spans="2:4">
      <c r="C969" s="16"/>
    </row>
    <row r="971" spans="2:4">
      <c r="D971" s="16"/>
    </row>
    <row r="973" spans="2:4">
      <c r="D973" s="16"/>
    </row>
    <row r="974" spans="2:4">
      <c r="D974" s="16"/>
    </row>
    <row r="975" spans="2:4">
      <c r="D975" s="16"/>
    </row>
    <row r="976" spans="2:4">
      <c r="C976" s="16"/>
    </row>
    <row r="977" spans="2:3">
      <c r="C977" s="16"/>
    </row>
    <row r="979" spans="2:3">
      <c r="B979" s="16"/>
    </row>
    <row r="980" spans="2:3">
      <c r="C980" s="16"/>
    </row>
    <row r="981" spans="2:3">
      <c r="B981" s="16"/>
    </row>
    <row r="982" spans="2:3">
      <c r="B982" s="16"/>
    </row>
    <row r="983" spans="2:3">
      <c r="B983" s="16"/>
    </row>
    <row r="984" spans="2:3">
      <c r="B984" s="16"/>
    </row>
    <row r="985" spans="2:3">
      <c r="B985" s="16"/>
    </row>
    <row r="986" spans="2:3">
      <c r="B986" s="16"/>
    </row>
    <row r="987" spans="2:3">
      <c r="B987" s="16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D97"/>
  <sheetViews>
    <sheetView topLeftCell="A79" workbookViewId="0">
      <selection sqref="A1:C98"/>
    </sheetView>
  </sheetViews>
  <sheetFormatPr defaultRowHeight="15"/>
  <sheetData>
    <row r="1" spans="1:4">
      <c r="A1" s="16" t="s">
        <v>220</v>
      </c>
    </row>
    <row r="3" spans="1:4">
      <c r="B3" s="16" t="s">
        <v>154</v>
      </c>
    </row>
    <row r="5" spans="1:4">
      <c r="B5" s="16" t="s">
        <v>221</v>
      </c>
    </row>
    <row r="6" spans="1:4">
      <c r="C6" s="16" t="s">
        <v>222</v>
      </c>
    </row>
    <row r="7" spans="1:4">
      <c r="C7" s="16" t="s">
        <v>223</v>
      </c>
    </row>
    <row r="8" spans="1:4">
      <c r="C8" s="16" t="s">
        <v>224</v>
      </c>
    </row>
    <row r="9" spans="1:4">
      <c r="C9" s="16" t="s">
        <v>225</v>
      </c>
    </row>
    <row r="10" spans="1:4">
      <c r="C10" s="16" t="s">
        <v>226</v>
      </c>
    </row>
    <row r="12" spans="1:4">
      <c r="B12" s="16" t="s">
        <v>227</v>
      </c>
    </row>
    <row r="14" spans="1:4">
      <c r="C14" s="16" t="s">
        <v>155</v>
      </c>
    </row>
    <row r="15" spans="1:4">
      <c r="D15" s="16" t="s">
        <v>228</v>
      </c>
    </row>
    <row r="16" spans="1:4">
      <c r="D16" s="16" t="s">
        <v>229</v>
      </c>
    </row>
    <row r="17" spans="2:3">
      <c r="C17" s="16" t="s">
        <v>230</v>
      </c>
    </row>
    <row r="18" spans="2:3">
      <c r="C18" s="16" t="s">
        <v>231</v>
      </c>
    </row>
    <row r="19" spans="2:3">
      <c r="C19" s="16" t="s">
        <v>232</v>
      </c>
    </row>
    <row r="20" spans="2:3">
      <c r="C20" s="16" t="s">
        <v>233</v>
      </c>
    </row>
    <row r="21" spans="2:3">
      <c r="C21" s="16" t="s">
        <v>234</v>
      </c>
    </row>
    <row r="23" spans="2:3">
      <c r="B23" s="16" t="s">
        <v>235</v>
      </c>
    </row>
    <row r="24" spans="2:3">
      <c r="C24" s="16" t="s">
        <v>236</v>
      </c>
    </row>
    <row r="25" spans="2:3">
      <c r="C25" s="16" t="s">
        <v>237</v>
      </c>
    </row>
    <row r="26" spans="2:3">
      <c r="C26" s="16" t="s">
        <v>238</v>
      </c>
    </row>
    <row r="27" spans="2:3">
      <c r="C27" s="16" t="s">
        <v>239</v>
      </c>
    </row>
    <row r="29" spans="2:3">
      <c r="B29" s="16" t="s">
        <v>240</v>
      </c>
    </row>
    <row r="30" spans="2:3">
      <c r="C30" s="16" t="s">
        <v>241</v>
      </c>
    </row>
    <row r="31" spans="2:3">
      <c r="C31" s="16" t="s">
        <v>242</v>
      </c>
    </row>
    <row r="32" spans="2:3">
      <c r="C32" s="16" t="s">
        <v>243</v>
      </c>
    </row>
    <row r="33" spans="2:3">
      <c r="C33" s="16" t="s">
        <v>244</v>
      </c>
    </row>
    <row r="34" spans="2:3">
      <c r="C34" s="16" t="s">
        <v>245</v>
      </c>
    </row>
    <row r="35" spans="2:3">
      <c r="C35" s="16" t="s">
        <v>246</v>
      </c>
    </row>
    <row r="36" spans="2:3">
      <c r="C36" s="16" t="s">
        <v>247</v>
      </c>
    </row>
    <row r="37" spans="2:3">
      <c r="C37" s="16" t="s">
        <v>248</v>
      </c>
    </row>
    <row r="39" spans="2:3">
      <c r="B39" s="16" t="s">
        <v>249</v>
      </c>
    </row>
    <row r="40" spans="2:3">
      <c r="C40" s="16" t="s">
        <v>250</v>
      </c>
    </row>
    <row r="41" spans="2:3">
      <c r="C41" s="16" t="s">
        <v>251</v>
      </c>
    </row>
    <row r="43" spans="2:3">
      <c r="B43" s="16" t="s">
        <v>252</v>
      </c>
    </row>
    <row r="44" spans="2:3">
      <c r="C44" s="16" t="s">
        <v>253</v>
      </c>
    </row>
    <row r="45" spans="2:3">
      <c r="C45" s="16" t="s">
        <v>254</v>
      </c>
    </row>
    <row r="46" spans="2:3">
      <c r="C46" s="16" t="s">
        <v>255</v>
      </c>
    </row>
    <row r="47" spans="2:3">
      <c r="C47" s="16" t="s">
        <v>256</v>
      </c>
    </row>
    <row r="49" spans="2:3">
      <c r="B49" s="16" t="s">
        <v>257</v>
      </c>
    </row>
    <row r="50" spans="2:3">
      <c r="C50" s="16" t="s">
        <v>258</v>
      </c>
    </row>
    <row r="51" spans="2:3">
      <c r="C51" s="16" t="s">
        <v>259</v>
      </c>
    </row>
    <row r="53" spans="2:3">
      <c r="B53" s="16" t="s">
        <v>260</v>
      </c>
    </row>
    <row r="54" spans="2:3">
      <c r="C54" s="16" t="s">
        <v>261</v>
      </c>
    </row>
    <row r="55" spans="2:3">
      <c r="C55" s="16" t="s">
        <v>262</v>
      </c>
    </row>
    <row r="56" spans="2:3">
      <c r="C56" s="16" t="s">
        <v>263</v>
      </c>
    </row>
    <row r="57" spans="2:3">
      <c r="C57" s="16" t="s">
        <v>264</v>
      </c>
    </row>
    <row r="59" spans="2:3">
      <c r="B59" s="16" t="s">
        <v>265</v>
      </c>
    </row>
    <row r="60" spans="2:3">
      <c r="C60" s="16" t="s">
        <v>266</v>
      </c>
    </row>
    <row r="61" spans="2:3">
      <c r="C61" s="16" t="s">
        <v>267</v>
      </c>
    </row>
    <row r="62" spans="2:3">
      <c r="C62" s="16" t="s">
        <v>268</v>
      </c>
    </row>
    <row r="63" spans="2:3">
      <c r="C63" s="16" t="s">
        <v>269</v>
      </c>
    </row>
    <row r="64" spans="2:3">
      <c r="C64" s="16" t="s">
        <v>270</v>
      </c>
    </row>
    <row r="65" spans="2:3">
      <c r="C65" s="16" t="s">
        <v>271</v>
      </c>
    </row>
    <row r="66" spans="2:3">
      <c r="C66" s="16" t="s">
        <v>272</v>
      </c>
    </row>
    <row r="67" spans="2:3">
      <c r="C67" s="16" t="s">
        <v>273</v>
      </c>
    </row>
    <row r="68" spans="2:3">
      <c r="C68" s="16" t="s">
        <v>274</v>
      </c>
    </row>
    <row r="70" spans="2:3">
      <c r="B70" s="16" t="s">
        <v>275</v>
      </c>
    </row>
    <row r="71" spans="2:3">
      <c r="C71" s="16" t="s">
        <v>276</v>
      </c>
    </row>
    <row r="72" spans="2:3">
      <c r="C72" s="16" t="s">
        <v>277</v>
      </c>
    </row>
    <row r="73" spans="2:3">
      <c r="C73" s="16" t="s">
        <v>278</v>
      </c>
    </row>
    <row r="74" spans="2:3">
      <c r="C74" s="16" t="s">
        <v>279</v>
      </c>
    </row>
    <row r="75" spans="2:3">
      <c r="C75" s="16" t="s">
        <v>280</v>
      </c>
    </row>
    <row r="76" spans="2:3">
      <c r="C76" s="16" t="s">
        <v>281</v>
      </c>
    </row>
    <row r="77" spans="2:3">
      <c r="C77" s="16" t="s">
        <v>282</v>
      </c>
    </row>
    <row r="78" spans="2:3">
      <c r="C78" s="16" t="s">
        <v>283</v>
      </c>
    </row>
    <row r="80" spans="2:3">
      <c r="B80" s="16" t="s">
        <v>284</v>
      </c>
    </row>
    <row r="81" spans="2:3">
      <c r="C81" s="16" t="s">
        <v>285</v>
      </c>
    </row>
    <row r="82" spans="2:3">
      <c r="C82" s="16" t="s">
        <v>286</v>
      </c>
    </row>
    <row r="84" spans="2:3">
      <c r="B84" s="16" t="s">
        <v>287</v>
      </c>
    </row>
    <row r="85" spans="2:3">
      <c r="C85" s="16" t="s">
        <v>288</v>
      </c>
    </row>
    <row r="86" spans="2:3">
      <c r="C86" s="16" t="s">
        <v>289</v>
      </c>
    </row>
    <row r="87" spans="2:3">
      <c r="C87" s="16" t="s">
        <v>290</v>
      </c>
    </row>
    <row r="88" spans="2:3">
      <c r="C88" s="16" t="s">
        <v>291</v>
      </c>
    </row>
    <row r="89" spans="2:3">
      <c r="C89" s="16" t="s">
        <v>292</v>
      </c>
    </row>
    <row r="90" spans="2:3">
      <c r="C90" s="16" t="s">
        <v>293</v>
      </c>
    </row>
    <row r="91" spans="2:3">
      <c r="C91" s="16" t="s">
        <v>294</v>
      </c>
    </row>
    <row r="92" spans="2:3">
      <c r="C92" s="16" t="s">
        <v>295</v>
      </c>
    </row>
    <row r="93" spans="2:3">
      <c r="C93" s="16" t="s">
        <v>296</v>
      </c>
    </row>
    <row r="94" spans="2:3">
      <c r="C94" s="16" t="s">
        <v>297</v>
      </c>
    </row>
    <row r="95" spans="2:3">
      <c r="C95" s="16" t="s">
        <v>298</v>
      </c>
    </row>
    <row r="96" spans="2:3">
      <c r="C96" s="16" t="s">
        <v>299</v>
      </c>
    </row>
    <row r="97" spans="2:2">
      <c r="B97" s="16" t="s">
        <v>300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35"/>
  <sheetViews>
    <sheetView topLeftCell="A15" workbookViewId="0">
      <selection sqref="A1:B35"/>
    </sheetView>
  </sheetViews>
  <sheetFormatPr defaultRowHeight="15"/>
  <sheetData>
    <row r="1" spans="1:2">
      <c r="A1" s="16" t="s">
        <v>95</v>
      </c>
    </row>
    <row r="2" spans="1:2">
      <c r="B2" s="16" t="s">
        <v>96</v>
      </c>
    </row>
    <row r="3" spans="1:2">
      <c r="B3" s="16" t="s">
        <v>97</v>
      </c>
    </row>
    <row r="4" spans="1:2">
      <c r="B4" s="16" t="s">
        <v>98</v>
      </c>
    </row>
    <row r="5" spans="1:2">
      <c r="B5" s="16" t="s">
        <v>99</v>
      </c>
    </row>
    <row r="6" spans="1:2">
      <c r="B6" s="16" t="s">
        <v>100</v>
      </c>
    </row>
    <row r="7" spans="1:2">
      <c r="B7" s="16" t="s">
        <v>101</v>
      </c>
    </row>
    <row r="8" spans="1:2">
      <c r="B8" s="16" t="s">
        <v>102</v>
      </c>
    </row>
    <row r="9" spans="1:2">
      <c r="B9" s="16" t="s">
        <v>103</v>
      </c>
    </row>
    <row r="10" spans="1:2">
      <c r="B10" s="16" t="s">
        <v>104</v>
      </c>
    </row>
    <row r="11" spans="1:2">
      <c r="B11" s="16" t="s">
        <v>105</v>
      </c>
    </row>
    <row r="12" spans="1:2">
      <c r="B12" s="16" t="s">
        <v>106</v>
      </c>
    </row>
    <row r="13" spans="1:2">
      <c r="B13" s="16" t="s">
        <v>107</v>
      </c>
    </row>
    <row r="14" spans="1:2">
      <c r="B14" s="16" t="s">
        <v>108</v>
      </c>
    </row>
    <row r="15" spans="1:2">
      <c r="B15" s="16" t="s">
        <v>109</v>
      </c>
    </row>
    <row r="16" spans="1:2">
      <c r="B16" s="16" t="s">
        <v>110</v>
      </c>
    </row>
    <row r="17" spans="2:2">
      <c r="B17" s="16" t="s">
        <v>111</v>
      </c>
    </row>
    <row r="18" spans="2:2">
      <c r="B18" s="16" t="s">
        <v>112</v>
      </c>
    </row>
    <row r="19" spans="2:2">
      <c r="B19" s="16" t="s">
        <v>113</v>
      </c>
    </row>
    <row r="20" spans="2:2">
      <c r="B20" s="16" t="s">
        <v>114</v>
      </c>
    </row>
    <row r="21" spans="2:2">
      <c r="B21" s="16" t="s">
        <v>115</v>
      </c>
    </row>
    <row r="22" spans="2:2">
      <c r="B22" s="16" t="s">
        <v>116</v>
      </c>
    </row>
    <row r="23" spans="2:2">
      <c r="B23" s="16" t="s">
        <v>117</v>
      </c>
    </row>
    <row r="24" spans="2:2">
      <c r="B24" s="16" t="s">
        <v>118</v>
      </c>
    </row>
    <row r="25" spans="2:2">
      <c r="B25" s="16" t="s">
        <v>119</v>
      </c>
    </row>
    <row r="26" spans="2:2">
      <c r="B26" s="16" t="s">
        <v>120</v>
      </c>
    </row>
    <row r="27" spans="2:2">
      <c r="B27" s="16" t="s">
        <v>121</v>
      </c>
    </row>
    <row r="28" spans="2:2">
      <c r="B28" s="16" t="s">
        <v>122</v>
      </c>
    </row>
    <row r="29" spans="2:2">
      <c r="B29" s="16" t="s">
        <v>123</v>
      </c>
    </row>
    <row r="30" spans="2:2">
      <c r="B30" s="16" t="s">
        <v>124</v>
      </c>
    </row>
    <row r="31" spans="2:2">
      <c r="B31" s="16" t="s">
        <v>125</v>
      </c>
    </row>
    <row r="32" spans="2:2">
      <c r="B32" s="16" t="s">
        <v>126</v>
      </c>
    </row>
    <row r="33" spans="2:2">
      <c r="B33" s="16" t="s">
        <v>127</v>
      </c>
    </row>
    <row r="34" spans="2:2">
      <c r="B34" s="16" t="s">
        <v>128</v>
      </c>
    </row>
    <row r="35" spans="2:2">
      <c r="B35" s="16" t="s">
        <v>129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D2:G8"/>
  <sheetViews>
    <sheetView tabSelected="1" zoomScale="130" zoomScaleNormal="130" workbookViewId="0">
      <selection activeCell="E11" sqref="E11"/>
    </sheetView>
  </sheetViews>
  <sheetFormatPr defaultColWidth="2.5703125" defaultRowHeight="15"/>
  <sheetData>
    <row r="2" spans="4:7">
      <c r="D2" s="18" t="s">
        <v>219</v>
      </c>
    </row>
    <row r="3" spans="4:7">
      <c r="E3" s="19" t="s">
        <v>301</v>
      </c>
    </row>
    <row r="4" spans="4:7">
      <c r="F4" t="s">
        <v>302</v>
      </c>
    </row>
    <row r="5" spans="4:7">
      <c r="G5" t="s">
        <v>304</v>
      </c>
    </row>
    <row r="6" spans="4:7">
      <c r="G6" t="s">
        <v>303</v>
      </c>
    </row>
    <row r="7" spans="4:7">
      <c r="G7" t="s">
        <v>305</v>
      </c>
    </row>
    <row r="8" spans="4:7">
      <c r="F8" t="s">
        <v>306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C&amp;S Build Estimates</vt:lpstr>
      <vt:lpstr>.continue</vt:lpstr>
      <vt:lpstr>Sheet2</vt:lpstr>
      <vt:lpstr>Sheet3</vt:lpstr>
      <vt:lpstr>Sheet4</vt:lpstr>
      <vt:lpstr>Sheet5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David Coleman</cp:lastModifiedBy>
  <cp:revision>0</cp:revision>
  <dcterms:created xsi:type="dcterms:W3CDTF">2026-03-07T10:18:46Z</dcterms:created>
  <dcterms:modified xsi:type="dcterms:W3CDTF">2026-03-08T11:56:03Z</dcterms:modified>
  <dc:language>en-US</dc:language>
</cp:coreProperties>
</file>