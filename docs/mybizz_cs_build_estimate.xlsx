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&amp;S Build Estima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<sst xmlns="http://schemas.openxmlformats.org/spreadsheetml/2006/main" count="60" uniqueCount="60">
  <si>
    <t xml:space="preserve">MyBizz Consulting &amp; Services — Build Cost Estimate</t>
  </si>
  <si>
    <t xml:space="preserve">Estimates in ZAR. Actual costs recorded where available. All estimates based on Stage 1.2 actuals and scope analysis.</t>
  </si>
  <si>
    <t xml:space="preserve">Stage</t>
  </si>
  <si>
    <t xml:space="preserve">UI Scope</t>
  </si>
  <si>
    <t xml:space="preserve">UI Design</t>
  </si>
  <si>
    <t xml:space="preserve">Code Draft</t>
  </si>
  <si>
    <t xml:space="preserve">Code Polish</t>
  </si>
  <si>
    <t xml:space="preserve">Local Testing</t>
  </si>
  <si>
    <t xml:space="preserve">Uplink Testing</t>
  </si>
  <si>
    <t xml:space="preserve">Checks</t>
  </si>
  <si>
    <t xml:space="preserve">Total (R)</t>
  </si>
  <si>
    <t xml:space="preserve">Days</t>
  </si>
  <si>
    <t xml:space="preserve">PHASE 1 — Authentication &amp; Administration</t>
  </si>
  <si>
    <t xml:space="preserve">1.1  Project Infrastructure</t>
  </si>
  <si>
    <t xml:space="preserve">1.2  Authentication System</t>
  </si>
  <si>
    <t xml:space="preserve">1.3  Dashboard &amp; Navigation</t>
  </si>
  <si>
    <t xml:space="preserve">1.4  Settings &amp; Configuration</t>
  </si>
  <si>
    <t xml:space="preserve">1.5  The Vault</t>
  </si>
  <si>
    <t xml:space="preserve">1.6  AdminLayout — Full Navigation</t>
  </si>
  <si>
    <t xml:space="preserve">PHASE 2 — Website &amp; Content</t>
  </si>
  <si>
    <t xml:space="preserve">2.1  Public Website — Standard Pages</t>
  </si>
  <si>
    <t xml:space="preserve">2.2  Home Page Templates</t>
  </si>
  <si>
    <t xml:space="preserve">2.3  Landing Pages System</t>
  </si>
  <si>
    <t xml:space="preserve">2.4  Blog System</t>
  </si>
  <si>
    <t xml:space="preserve">PHASE 3 — Payments &amp; Invoicing</t>
  </si>
  <si>
    <t xml:space="preserve">3.1  Payment Gateway (Stripe / Paystack)</t>
  </si>
  <si>
    <t xml:space="preserve">3.2  Invoicing System</t>
  </si>
  <si>
    <t xml:space="preserve">PHASE 4 — Bookings &amp; Appointments</t>
  </si>
  <si>
    <t xml:space="preserve">4.1  Calendar System</t>
  </si>
  <si>
    <t xml:space="preserve">4.2  Availability Management</t>
  </si>
  <si>
    <t xml:space="preserve">4.3  Booking Creation Flow</t>
  </si>
  <si>
    <t xml:space="preserve">4.4  Service Catalogue Management</t>
  </si>
  <si>
    <t xml:space="preserve">PHASE 5 — CRM &amp; Marketing</t>
  </si>
  <si>
    <t xml:space="preserve">5.1  Contact Management</t>
  </si>
  <si>
    <t xml:space="preserve">5.2  Email Marketing (Zoho Campaigns)</t>
  </si>
  <si>
    <t xml:space="preserve">5.3  Segmentation</t>
  </si>
  <si>
    <t xml:space="preserve">5.4  Task Automation</t>
  </si>
  <si>
    <t xml:space="preserve">PHASE 6 — Security &amp; Compliance</t>
  </si>
  <si>
    <t xml:space="preserve">6.1–6.8  Security, Compliance &amp; Hardening</t>
  </si>
  <si>
    <t xml:space="preserve">PHASE 7 — Analytics &amp; Reporting</t>
  </si>
  <si>
    <t xml:space="preserve">7.1  Dashboard Analytics</t>
  </si>
  <si>
    <t xml:space="preserve">7.2  Revenue Reporting</t>
  </si>
  <si>
    <t xml:space="preserve">7.3  Customer Analytics</t>
  </si>
  <si>
    <t xml:space="preserve">PHASE 8 — Vertical Polish</t>
  </si>
  <si>
    <t xml:space="preserve">8.1  Services Vertical Optimisation</t>
  </si>
  <si>
    <t xml:space="preserve">8.2  Time Tracking &amp; Billing Polish</t>
  </si>
  <si>
    <t xml:space="preserve">8.3  Client Portal Polish</t>
  </si>
  <si>
    <t xml:space="preserve">PHASE 9 — Platform Management</t>
  </si>
  <si>
    <t xml:space="preserve">9.1  Client Provisioning</t>
  </si>
  <si>
    <t xml:space="preserve">9.2  Client Monitoring</t>
  </si>
  <si>
    <t xml:space="preserve">9.3  Update Distribution</t>
  </si>
  <si>
    <t xml:space="preserve">9.4  Billing Automation</t>
  </si>
  <si>
    <t xml:space="preserve">PHASE 10 — Launch Preparation</t>
  </si>
  <si>
    <t xml:space="preserve">10.1  Comprehensive Testing</t>
  </si>
  <si>
    <t xml:space="preserve">10.2  Documentation</t>
  </si>
  <si>
    <t xml:space="preserve">10.3  Production Launch</t>
  </si>
  <si>
    <t xml:space="preserve">TOTAL PROJECT ESTIMATE</t>
  </si>
  <si>
    <t xml:space="preserve">🟦 Blue values = Actuals recorded   |   White/grey = Estimates   |   Green = Completed stages</t>
  </si>
  <si>
    <t xml:space="preserve">Note: C&amp;S app is significantly simpler than the 4-vertical platform. Estimates reflect reduced scope — no e-commerce, no shipping, no hospitality, no memberships.</t>
  </si>
  <si>
    <t xml:space="preserve">Actual spend to date (Stages 1.1–1.3): R107.78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</si>
</sst>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375623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6" min="2" style="0" width="11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6" hidden="false" customHeight="true" outlineLevel="0" collapsed="false"/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8" hidden="false" customHeight="true" outlineLevel="0" collapsed="false">
      <c r="A5" s="4" t="s">
        <v>12</v>
      </c>
      <c r="B5" s="4"/>
      <c r="C5" s="4"/>
      <c r="D5" s="4"/>
      <c r="E5" s="4"/>
      <c r="F5" s="4"/>
      <c r="G5" s="4"/>
      <c r="H5" s="4"/>
      <c r="I5" s="4"/>
      <c r="J5" s="4"/>
    </row>
    <row r="6" customFormat="false" ht="15.75" hidden="false" customHeight="true" outlineLevel="0" collapsed="false">
      <c r="A6" s="5" t="s">
        <v>13</v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7" t="n">
        <f aca="false">SUM(B6:H6)</f>
        <v>0</v>
      </c>
      <c r="J6" s="8" t="n">
        <v>0.5</v>
      </c>
    </row>
    <row r="7" customFormat="false" ht="15.75" hidden="false" customHeight="true" outlineLevel="0" collapsed="false">
      <c r="A7" s="5" t="s">
        <v>14</v>
      </c>
      <c r="B7" s="6" t="n">
        <v>45.73</v>
      </c>
      <c r="C7" s="6" t="n">
        <v>98.77</v>
      </c>
      <c r="D7" s="6" t="n">
        <v>45.05</v>
      </c>
      <c r="E7" s="6" t="n">
        <v>104.21</v>
      </c>
      <c r="F7" s="6" t="n">
        <v>28.05</v>
      </c>
      <c r="G7" s="6" t="n">
        <v>101.32</v>
      </c>
      <c r="H7" s="6" t="n">
        <v>59.16</v>
      </c>
      <c r="I7" s="7" t="n">
        <f aca="false">SUM(B7:H7)</f>
        <v>482.29</v>
      </c>
      <c r="J7" s="8" t="n">
        <v>2</v>
      </c>
    </row>
    <row r="8" customFormat="false" ht="15.75" hidden="false" customHeight="true" outlineLevel="0" collapsed="false">
      <c r="A8" s="5" t="s">
        <v>15</v>
      </c>
      <c r="B8" s="6" t="n">
        <v>50</v>
      </c>
      <c r="C8" s="6" t="n">
        <v>140</v>
      </c>
      <c r="D8" s="6" t="n">
        <v>80</v>
      </c>
      <c r="E8" s="6" t="n">
        <v>120</v>
      </c>
      <c r="F8" s="6" t="n">
        <v>35</v>
      </c>
      <c r="G8" s="6" t="n">
        <v>120</v>
      </c>
      <c r="H8" s="6" t="n">
        <v>40</v>
      </c>
      <c r="I8" s="7" t="n">
        <f aca="false">SUM(B8:H8)</f>
        <v>585</v>
      </c>
      <c r="J8" s="8" t="n">
        <v>3</v>
      </c>
    </row>
    <row r="9" customFormat="false" ht="15.75" hidden="false" customHeight="true" outlineLevel="0" collapsed="false">
      <c r="A9" s="9" t="s">
        <v>16</v>
      </c>
      <c r="B9" s="10" t="n">
        <v>40</v>
      </c>
      <c r="C9" s="10" t="n">
        <v>110</v>
      </c>
      <c r="D9" s="10" t="n">
        <v>80</v>
      </c>
      <c r="E9" s="10" t="n">
        <v>100</v>
      </c>
      <c r="F9" s="10" t="n">
        <v>25</v>
      </c>
      <c r="G9" s="10" t="n">
        <v>90</v>
      </c>
      <c r="H9" s="10" t="n">
        <v>30</v>
      </c>
      <c r="I9" s="11" t="n">
        <f aca="false">SUM(B9:H9)</f>
        <v>475</v>
      </c>
      <c r="J9" s="12" t="n">
        <v>2</v>
      </c>
    </row>
    <row r="10" customFormat="false" ht="15.75" hidden="false" customHeight="true" outlineLevel="0" collapsed="false">
      <c r="A10" s="9" t="s">
        <v>17</v>
      </c>
      <c r="B10" s="10" t="n">
        <v>25</v>
      </c>
      <c r="C10" s="10" t="n">
        <v>70</v>
      </c>
      <c r="D10" s="10" t="n">
        <v>90</v>
      </c>
      <c r="E10" s="10" t="n">
        <v>80</v>
      </c>
      <c r="F10" s="10" t="n">
        <v>35</v>
      </c>
      <c r="G10" s="10" t="n">
        <v>90</v>
      </c>
      <c r="H10" s="10" t="n">
        <v>30</v>
      </c>
      <c r="I10" s="11" t="n">
        <f aca="false">SUM(B10:H10)</f>
        <v>420</v>
      </c>
      <c r="J10" s="12" t="n">
        <v>2</v>
      </c>
    </row>
    <row r="11" customFormat="false" ht="15.75" hidden="false" customHeight="true" outlineLevel="0" collapsed="false">
      <c r="A11" s="9" t="s">
        <v>18</v>
      </c>
      <c r="B11" s="10" t="n">
        <v>30</v>
      </c>
      <c r="C11" s="10" t="n">
        <v>70</v>
      </c>
      <c r="D11" s="10" t="n">
        <v>50</v>
      </c>
      <c r="E11" s="10" t="n">
        <v>60</v>
      </c>
      <c r="F11" s="10" t="n">
        <v>20</v>
      </c>
      <c r="G11" s="10" t="n">
        <v>50</v>
      </c>
      <c r="H11" s="10" t="n">
        <v>25</v>
      </c>
      <c r="I11" s="11" t="n">
        <f aca="false">SUM(B11:H11)</f>
        <v>305</v>
      </c>
      <c r="J11" s="12" t="n">
        <v>1</v>
      </c>
    </row>
    <row r="12" customFormat="false" ht="18" hidden="false" customHeight="true" outlineLevel="0" collapsed="false">
      <c r="A12" s="4" t="s">
        <v>19</v>
      </c>
      <c r="B12" s="4"/>
      <c r="C12" s="4"/>
      <c r="D12" s="4"/>
      <c r="E12" s="4"/>
      <c r="F12" s="4"/>
      <c r="G12" s="4"/>
      <c r="H12" s="4"/>
      <c r="I12" s="4"/>
      <c r="J12" s="4"/>
    </row>
    <row r="13" customFormat="false" ht="15.75" hidden="false" customHeight="true" outlineLevel="0" collapsed="false">
      <c r="A13" s="9" t="s">
        <v>20</v>
      </c>
      <c r="B13" s="10" t="n">
        <v>40</v>
      </c>
      <c r="C13" s="10" t="n">
        <v>110</v>
      </c>
      <c r="D13" s="10" t="n">
        <v>60</v>
      </c>
      <c r="E13" s="10" t="n">
        <v>80</v>
      </c>
      <c r="F13" s="10" t="n">
        <v>20</v>
      </c>
      <c r="G13" s="10" t="n">
        <v>70</v>
      </c>
      <c r="H13" s="10" t="n">
        <v>30</v>
      </c>
      <c r="I13" s="11" t="n">
        <f aca="false">SUM(B13:H13)</f>
        <v>410</v>
      </c>
      <c r="J13" s="12" t="n">
        <v>2</v>
      </c>
    </row>
    <row r="14" customFormat="false" ht="15.75" hidden="false" customHeight="true" outlineLevel="0" collapsed="false">
      <c r="A14" s="9" t="s">
        <v>21</v>
      </c>
      <c r="B14" s="10" t="n">
        <v>50</v>
      </c>
      <c r="C14" s="10" t="n">
        <v>150</v>
      </c>
      <c r="D14" s="10" t="n">
        <v>80</v>
      </c>
      <c r="E14" s="10" t="n">
        <v>110</v>
      </c>
      <c r="F14" s="10" t="n">
        <v>25</v>
      </c>
      <c r="G14" s="10" t="n">
        <v>80</v>
      </c>
      <c r="H14" s="10" t="n">
        <v>30</v>
      </c>
      <c r="I14" s="11" t="n">
        <f aca="false">SUM(B14:H14)</f>
        <v>525</v>
      </c>
      <c r="J14" s="12" t="n">
        <v>2.5</v>
      </c>
    </row>
    <row r="15" customFormat="false" ht="15.75" hidden="false" customHeight="true" outlineLevel="0" collapsed="false">
      <c r="A15" s="9" t="s">
        <v>22</v>
      </c>
      <c r="B15" s="10" t="n">
        <v>40</v>
      </c>
      <c r="C15" s="10" t="n">
        <v>120</v>
      </c>
      <c r="D15" s="10" t="n">
        <v>75</v>
      </c>
      <c r="E15" s="10" t="n">
        <v>95</v>
      </c>
      <c r="F15" s="10" t="n">
        <v>25</v>
      </c>
      <c r="G15" s="10" t="n">
        <v>70</v>
      </c>
      <c r="H15" s="10" t="n">
        <v>30</v>
      </c>
      <c r="I15" s="11" t="n">
        <f aca="false">SUM(B15:H15)</f>
        <v>455</v>
      </c>
      <c r="J15" s="12" t="n">
        <v>2</v>
      </c>
    </row>
    <row r="16" customFormat="false" ht="15.75" hidden="false" customHeight="true" outlineLevel="0" collapsed="false">
      <c r="A16" s="9" t="s">
        <v>23</v>
      </c>
      <c r="B16" s="10" t="n">
        <v>40</v>
      </c>
      <c r="C16" s="10" t="n">
        <v>110</v>
      </c>
      <c r="D16" s="10" t="n">
        <v>70</v>
      </c>
      <c r="E16" s="10" t="n">
        <v>90</v>
      </c>
      <c r="F16" s="10" t="n">
        <v>25</v>
      </c>
      <c r="G16" s="10" t="n">
        <v>80</v>
      </c>
      <c r="H16" s="10" t="n">
        <v>30</v>
      </c>
      <c r="I16" s="11" t="n">
        <f aca="false">SUM(B16:H16)</f>
        <v>445</v>
      </c>
      <c r="J16" s="12" t="n">
        <v>2</v>
      </c>
    </row>
    <row r="17" customFormat="false" ht="18" hidden="false" customHeight="true" outlineLevel="0" collapsed="false">
      <c r="A17" s="4" t="s">
        <v>24</v>
      </c>
      <c r="B17" s="4"/>
      <c r="C17" s="4"/>
      <c r="D17" s="4"/>
      <c r="E17" s="4"/>
      <c r="F17" s="4"/>
      <c r="G17" s="4"/>
      <c r="H17" s="4"/>
      <c r="I17" s="4"/>
      <c r="J17" s="4"/>
    </row>
    <row r="18" customFormat="false" ht="15.75" hidden="false" customHeight="true" outlineLevel="0" collapsed="false">
      <c r="A18" s="9" t="s">
        <v>25</v>
      </c>
      <c r="B18" s="10" t="n">
        <v>40</v>
      </c>
      <c r="C18" s="10" t="n">
        <v>90</v>
      </c>
      <c r="D18" s="10" t="n">
        <v>110</v>
      </c>
      <c r="E18" s="10" t="n">
        <v>140</v>
      </c>
      <c r="F18" s="10" t="n">
        <v>45</v>
      </c>
      <c r="G18" s="10" t="n">
        <v>160</v>
      </c>
      <c r="H18" s="10" t="n">
        <v>40</v>
      </c>
      <c r="I18" s="11" t="n">
        <f aca="false">SUM(B18:H18)</f>
        <v>625</v>
      </c>
      <c r="J18" s="12" t="n">
        <v>3.5</v>
      </c>
    </row>
    <row r="19" customFormat="false" ht="15.75" hidden="false" customHeight="true" outlineLevel="0" collapsed="false">
      <c r="A19" s="9" t="s">
        <v>26</v>
      </c>
      <c r="B19" s="10" t="n">
        <v>35</v>
      </c>
      <c r="C19" s="10" t="n">
        <v>100</v>
      </c>
      <c r="D19" s="10" t="n">
        <v>80</v>
      </c>
      <c r="E19" s="10" t="n">
        <v>100</v>
      </c>
      <c r="F19" s="10" t="n">
        <v>30</v>
      </c>
      <c r="G19" s="10" t="n">
        <v>100</v>
      </c>
      <c r="H19" s="10" t="n">
        <v>30</v>
      </c>
      <c r="I19" s="11" t="n">
        <f aca="false">SUM(B19:H19)</f>
        <v>475</v>
      </c>
      <c r="J19" s="12" t="n">
        <v>2</v>
      </c>
    </row>
    <row r="20" customFormat="false" ht="18" hidden="false" customHeight="true" outlineLevel="0" collapsed="false">
      <c r="A20" s="4" t="s">
        <v>27</v>
      </c>
      <c r="B20" s="4"/>
      <c r="C20" s="4"/>
      <c r="D20" s="4"/>
      <c r="E20" s="4"/>
      <c r="F20" s="4"/>
      <c r="G20" s="4"/>
      <c r="H20" s="4"/>
      <c r="I20" s="4"/>
      <c r="J20" s="4"/>
    </row>
    <row r="21" customFormat="false" ht="15.75" hidden="false" customHeight="true" outlineLevel="0" collapsed="false">
      <c r="A21" s="9" t="s">
        <v>28</v>
      </c>
      <c r="B21" s="10" t="n">
        <v>45</v>
      </c>
      <c r="C21" s="10" t="n">
        <v>130</v>
      </c>
      <c r="D21" s="10" t="n">
        <v>100</v>
      </c>
      <c r="E21" s="10" t="n">
        <v>120</v>
      </c>
      <c r="F21" s="10" t="n">
        <v>35</v>
      </c>
      <c r="G21" s="10" t="n">
        <v>120</v>
      </c>
      <c r="H21" s="10" t="n">
        <v>35</v>
      </c>
      <c r="I21" s="11" t="n">
        <f aca="false">SUM(B21:H21)</f>
        <v>585</v>
      </c>
      <c r="J21" s="12" t="n">
        <v>3</v>
      </c>
    </row>
    <row r="22" customFormat="false" ht="15.75" hidden="false" customHeight="true" outlineLevel="0" collapsed="false">
      <c r="A22" s="9" t="s">
        <v>29</v>
      </c>
      <c r="B22" s="10" t="n">
        <v>35</v>
      </c>
      <c r="C22" s="10" t="n">
        <v>100</v>
      </c>
      <c r="D22" s="10" t="n">
        <v>80</v>
      </c>
      <c r="E22" s="10" t="n">
        <v>100</v>
      </c>
      <c r="F22" s="10" t="n">
        <v>30</v>
      </c>
      <c r="G22" s="10" t="n">
        <v>100</v>
      </c>
      <c r="H22" s="10" t="n">
        <v>30</v>
      </c>
      <c r="I22" s="11" t="n">
        <f aca="false">SUM(B22:H22)</f>
        <v>475</v>
      </c>
      <c r="J22" s="12" t="n">
        <v>2</v>
      </c>
    </row>
    <row r="23" customFormat="false" ht="15.75" hidden="false" customHeight="true" outlineLevel="0" collapsed="false">
      <c r="A23" s="9" t="s">
        <v>30</v>
      </c>
      <c r="B23" s="10" t="n">
        <v>45</v>
      </c>
      <c r="C23" s="10" t="n">
        <v>130</v>
      </c>
      <c r="D23" s="10" t="n">
        <v>90</v>
      </c>
      <c r="E23" s="10" t="n">
        <v>120</v>
      </c>
      <c r="F23" s="10" t="n">
        <v>35</v>
      </c>
      <c r="G23" s="10" t="n">
        <v>120</v>
      </c>
      <c r="H23" s="10" t="n">
        <v>35</v>
      </c>
      <c r="I23" s="11" t="n">
        <f aca="false">SUM(B23:H23)</f>
        <v>575</v>
      </c>
      <c r="J23" s="12" t="n">
        <v>2.5</v>
      </c>
    </row>
    <row r="24" customFormat="false" ht="15.75" hidden="false" customHeight="true" outlineLevel="0" collapsed="false">
      <c r="A24" s="9" t="s">
        <v>31</v>
      </c>
      <c r="B24" s="10" t="n">
        <v>35</v>
      </c>
      <c r="C24" s="10" t="n">
        <v>100</v>
      </c>
      <c r="D24" s="10" t="n">
        <v>70</v>
      </c>
      <c r="E24" s="10" t="n">
        <v>90</v>
      </c>
      <c r="F24" s="10" t="n">
        <v>25</v>
      </c>
      <c r="G24" s="10" t="n">
        <v>90</v>
      </c>
      <c r="H24" s="10" t="n">
        <v>30</v>
      </c>
      <c r="I24" s="11" t="n">
        <f aca="false">SUM(B24:H24)</f>
        <v>440</v>
      </c>
      <c r="J24" s="12" t="n">
        <v>2</v>
      </c>
    </row>
    <row r="25" customFormat="false" ht="18" hidden="false" customHeight="true" outlineLevel="0" collapsed="false">
      <c r="A25" s="4" t="s">
        <v>32</v>
      </c>
      <c r="B25" s="4"/>
      <c r="C25" s="4"/>
      <c r="D25" s="4"/>
      <c r="E25" s="4"/>
      <c r="F25" s="4"/>
      <c r="G25" s="4"/>
      <c r="H25" s="4"/>
      <c r="I25" s="4"/>
      <c r="J25" s="4"/>
    </row>
    <row r="26" customFormat="false" ht="15.75" hidden="false" customHeight="true" outlineLevel="0" collapsed="false">
      <c r="A26" s="9" t="s">
        <v>33</v>
      </c>
      <c r="B26" s="10" t="n">
        <v>40</v>
      </c>
      <c r="C26" s="10" t="n">
        <v>110</v>
      </c>
      <c r="D26" s="10" t="n">
        <v>80</v>
      </c>
      <c r="E26" s="10" t="n">
        <v>100</v>
      </c>
      <c r="F26" s="10" t="n">
        <v>30</v>
      </c>
      <c r="G26" s="10" t="n">
        <v>110</v>
      </c>
      <c r="H26" s="10" t="n">
        <v>30</v>
      </c>
      <c r="I26" s="11" t="n">
        <f aca="false">SUM(B26:H26)</f>
        <v>500</v>
      </c>
      <c r="J26" s="12" t="n">
        <v>2</v>
      </c>
    </row>
    <row r="27" customFormat="false" ht="15.75" hidden="false" customHeight="true" outlineLevel="0" collapsed="false">
      <c r="A27" s="9" t="s">
        <v>34</v>
      </c>
      <c r="B27" s="10" t="n">
        <v>45</v>
      </c>
      <c r="C27" s="10" t="n">
        <v>120</v>
      </c>
      <c r="D27" s="10" t="n">
        <v>110</v>
      </c>
      <c r="E27" s="10" t="n">
        <v>140</v>
      </c>
      <c r="F27" s="10" t="n">
        <v>35</v>
      </c>
      <c r="G27" s="10" t="n">
        <v>150</v>
      </c>
      <c r="H27" s="10" t="n">
        <v>35</v>
      </c>
      <c r="I27" s="11" t="n">
        <f aca="false">SUM(B27:H27)</f>
        <v>635</v>
      </c>
      <c r="J27" s="12" t="n">
        <v>3</v>
      </c>
    </row>
    <row r="28" customFormat="false" ht="15.75" hidden="false" customHeight="true" outlineLevel="0" collapsed="false">
      <c r="A28" s="9" t="s">
        <v>35</v>
      </c>
      <c r="B28" s="10" t="n">
        <v>35</v>
      </c>
      <c r="C28" s="10" t="n">
        <v>90</v>
      </c>
      <c r="D28" s="10" t="n">
        <v>70</v>
      </c>
      <c r="E28" s="10" t="n">
        <v>90</v>
      </c>
      <c r="F28" s="10" t="n">
        <v>25</v>
      </c>
      <c r="G28" s="10" t="n">
        <v>90</v>
      </c>
      <c r="H28" s="10" t="n">
        <v>30</v>
      </c>
      <c r="I28" s="11" t="n">
        <f aca="false">SUM(B28:H28)</f>
        <v>430</v>
      </c>
      <c r="J28" s="12" t="n">
        <v>1.5</v>
      </c>
    </row>
    <row r="29" customFormat="false" ht="15.75" hidden="false" customHeight="true" outlineLevel="0" collapsed="false">
      <c r="A29" s="9" t="s">
        <v>36</v>
      </c>
      <c r="B29" s="10" t="n">
        <v>35</v>
      </c>
      <c r="C29" s="10" t="n">
        <v>90</v>
      </c>
      <c r="D29" s="10" t="n">
        <v>80</v>
      </c>
      <c r="E29" s="10" t="n">
        <v>100</v>
      </c>
      <c r="F29" s="10" t="n">
        <v>30</v>
      </c>
      <c r="G29" s="10" t="n">
        <v>100</v>
      </c>
      <c r="H29" s="10" t="n">
        <v>30</v>
      </c>
      <c r="I29" s="11" t="n">
        <f aca="false">SUM(B29:H29)</f>
        <v>465</v>
      </c>
      <c r="J29" s="12" t="n">
        <v>1.5</v>
      </c>
    </row>
    <row r="30" customFormat="false" ht="18" hidden="false" customHeight="true" outlineLevel="0" collapsed="false">
      <c r="A30" s="4" t="s">
        <v>37</v>
      </c>
      <c r="B30" s="4"/>
      <c r="C30" s="4"/>
      <c r="D30" s="4"/>
      <c r="E30" s="4"/>
      <c r="F30" s="4"/>
      <c r="G30" s="4"/>
      <c r="H30" s="4"/>
      <c r="I30" s="4"/>
      <c r="J30" s="4"/>
    </row>
    <row r="31" customFormat="false" ht="15.75" hidden="false" customHeight="true" outlineLevel="0" collapsed="false">
      <c r="A31" s="9" t="s">
        <v>38</v>
      </c>
      <c r="B31" s="10" t="n">
        <v>55</v>
      </c>
      <c r="C31" s="10" t="n">
        <v>110</v>
      </c>
      <c r="D31" s="10" t="n">
        <v>140</v>
      </c>
      <c r="E31" s="10" t="n">
        <v>170</v>
      </c>
      <c r="F31" s="10" t="n">
        <v>55</v>
      </c>
      <c r="G31" s="10" t="n">
        <v>170</v>
      </c>
      <c r="H31" s="10" t="n">
        <v>55</v>
      </c>
      <c r="I31" s="11" t="n">
        <f aca="false">SUM(B31:H31)</f>
        <v>755</v>
      </c>
      <c r="J31" s="12" t="n">
        <v>5</v>
      </c>
    </row>
    <row r="32" customFormat="false" ht="18" hidden="false" customHeight="true" outlineLevel="0" collapsed="false">
      <c r="A32" s="4" t="s">
        <v>39</v>
      </c>
      <c r="B32" s="4"/>
      <c r="C32" s="4"/>
      <c r="D32" s="4"/>
      <c r="E32" s="4"/>
      <c r="F32" s="4"/>
      <c r="G32" s="4"/>
      <c r="H32" s="4"/>
      <c r="I32" s="4"/>
      <c r="J32" s="4"/>
    </row>
    <row r="33" customFormat="false" ht="15.75" hidden="false" customHeight="true" outlineLevel="0" collapsed="false">
      <c r="A33" s="9" t="s">
        <v>40</v>
      </c>
      <c r="B33" s="10" t="n">
        <v>40</v>
      </c>
      <c r="C33" s="10" t="n">
        <v>120</v>
      </c>
      <c r="D33" s="10" t="n">
        <v>90</v>
      </c>
      <c r="E33" s="10" t="n">
        <v>110</v>
      </c>
      <c r="F33" s="10" t="n">
        <v>30</v>
      </c>
      <c r="G33" s="10" t="n">
        <v>100</v>
      </c>
      <c r="H33" s="10" t="n">
        <v>30</v>
      </c>
      <c r="I33" s="11" t="n">
        <f aca="false">SUM(B33:H33)</f>
        <v>520</v>
      </c>
      <c r="J33" s="12" t="n">
        <v>2</v>
      </c>
    </row>
    <row r="34" customFormat="false" ht="15.75" hidden="false" customHeight="true" outlineLevel="0" collapsed="false">
      <c r="A34" s="9" t="s">
        <v>41</v>
      </c>
      <c r="B34" s="10" t="n">
        <v>35</v>
      </c>
      <c r="C34" s="10" t="n">
        <v>100</v>
      </c>
      <c r="D34" s="10" t="n">
        <v>80</v>
      </c>
      <c r="E34" s="10" t="n">
        <v>100</v>
      </c>
      <c r="F34" s="10" t="n">
        <v>25</v>
      </c>
      <c r="G34" s="10" t="n">
        <v>90</v>
      </c>
      <c r="H34" s="10" t="n">
        <v>30</v>
      </c>
      <c r="I34" s="11" t="n">
        <f aca="false">SUM(B34:H34)</f>
        <v>460</v>
      </c>
      <c r="J34" s="12" t="n">
        <v>1.5</v>
      </c>
    </row>
    <row r="35" customFormat="false" ht="15.75" hidden="false" customHeight="true" outlineLevel="0" collapsed="false">
      <c r="A35" s="9" t="s">
        <v>42</v>
      </c>
      <c r="B35" s="10" t="n">
        <v>35</v>
      </c>
      <c r="C35" s="10" t="n">
        <v>100</v>
      </c>
      <c r="D35" s="10" t="n">
        <v>80</v>
      </c>
      <c r="E35" s="10" t="n">
        <v>100</v>
      </c>
      <c r="F35" s="10" t="n">
        <v>25</v>
      </c>
      <c r="G35" s="10" t="n">
        <v>90</v>
      </c>
      <c r="H35" s="10" t="n">
        <v>30</v>
      </c>
      <c r="I35" s="11" t="n">
        <f aca="false">SUM(B35:H35)</f>
        <v>460</v>
      </c>
      <c r="J35" s="12" t="n">
        <v>1.5</v>
      </c>
    </row>
    <row r="36" customFormat="false" ht="18" hidden="false" customHeight="true" outlineLevel="0" collapsed="false">
      <c r="A36" s="4" t="s">
        <v>43</v>
      </c>
      <c r="B36" s="4"/>
      <c r="C36" s="4"/>
      <c r="D36" s="4"/>
      <c r="E36" s="4"/>
      <c r="F36" s="4"/>
      <c r="G36" s="4"/>
      <c r="H36" s="4"/>
      <c r="I36" s="4"/>
      <c r="J36" s="4"/>
    </row>
    <row r="37" customFormat="false" ht="15.75" hidden="false" customHeight="true" outlineLevel="0" collapsed="false">
      <c r="A37" s="9" t="s">
        <v>44</v>
      </c>
      <c r="B37" s="10" t="n">
        <v>30</v>
      </c>
      <c r="C37" s="10" t="n">
        <v>80</v>
      </c>
      <c r="D37" s="10" t="n">
        <v>60</v>
      </c>
      <c r="E37" s="10" t="n">
        <v>80</v>
      </c>
      <c r="F37" s="10" t="n">
        <v>20</v>
      </c>
      <c r="G37" s="10" t="n">
        <v>70</v>
      </c>
      <c r="H37" s="10" t="n">
        <v>25</v>
      </c>
      <c r="I37" s="11" t="n">
        <f aca="false">SUM(B37:H37)</f>
        <v>365</v>
      </c>
      <c r="J37" s="12" t="n">
        <v>1.5</v>
      </c>
    </row>
    <row r="38" customFormat="false" ht="15.75" hidden="false" customHeight="true" outlineLevel="0" collapsed="false">
      <c r="A38" s="9" t="s">
        <v>45</v>
      </c>
      <c r="B38" s="10" t="n">
        <v>25</v>
      </c>
      <c r="C38" s="10" t="n">
        <v>70</v>
      </c>
      <c r="D38" s="10" t="n">
        <v>60</v>
      </c>
      <c r="E38" s="10" t="n">
        <v>70</v>
      </c>
      <c r="F38" s="10" t="n">
        <v>20</v>
      </c>
      <c r="G38" s="10" t="n">
        <v>60</v>
      </c>
      <c r="H38" s="10" t="n">
        <v>20</v>
      </c>
      <c r="I38" s="11" t="n">
        <f aca="false">SUM(B38:H38)</f>
        <v>325</v>
      </c>
      <c r="J38" s="12" t="n">
        <v>1</v>
      </c>
    </row>
    <row r="39" customFormat="false" ht="15.75" hidden="false" customHeight="true" outlineLevel="0" collapsed="false">
      <c r="A39" s="9" t="s">
        <v>46</v>
      </c>
      <c r="B39" s="10" t="n">
        <v>25</v>
      </c>
      <c r="C39" s="10" t="n">
        <v>70</v>
      </c>
      <c r="D39" s="10" t="n">
        <v>60</v>
      </c>
      <c r="E39" s="10" t="n">
        <v>70</v>
      </c>
      <c r="F39" s="10" t="n">
        <v>20</v>
      </c>
      <c r="G39" s="10" t="n">
        <v>60</v>
      </c>
      <c r="H39" s="10" t="n">
        <v>20</v>
      </c>
      <c r="I39" s="11" t="n">
        <f aca="false">SUM(B39:H39)</f>
        <v>325</v>
      </c>
      <c r="J39" s="12" t="n">
        <v>1</v>
      </c>
    </row>
    <row r="40" customFormat="false" ht="18" hidden="false" customHeight="true" outlineLevel="0" collapsed="false">
      <c r="A40" s="4" t="s">
        <v>47</v>
      </c>
      <c r="B40" s="4"/>
      <c r="C40" s="4"/>
      <c r="D40" s="4"/>
      <c r="E40" s="4"/>
      <c r="F40" s="4"/>
      <c r="G40" s="4"/>
      <c r="H40" s="4"/>
      <c r="I40" s="4"/>
      <c r="J40" s="4"/>
    </row>
    <row r="41" customFormat="false" ht="15.75" hidden="false" customHeight="true" outlineLevel="0" collapsed="false">
      <c r="A41" s="9" t="s">
        <v>48</v>
      </c>
      <c r="B41" s="10" t="n">
        <v>40</v>
      </c>
      <c r="C41" s="10" t="n">
        <v>90</v>
      </c>
      <c r="D41" s="10" t="n">
        <v>80</v>
      </c>
      <c r="E41" s="10" t="n">
        <v>100</v>
      </c>
      <c r="F41" s="10" t="n">
        <v>30</v>
      </c>
      <c r="G41" s="10" t="n">
        <v>90</v>
      </c>
      <c r="H41" s="10" t="n">
        <v>30</v>
      </c>
      <c r="I41" s="11" t="n">
        <f aca="false">SUM(B41:H41)</f>
        <v>460</v>
      </c>
      <c r="J41" s="12" t="n">
        <v>2</v>
      </c>
    </row>
    <row r="42" customFormat="false" ht="15.75" hidden="false" customHeight="true" outlineLevel="0" collapsed="false">
      <c r="A42" s="9" t="s">
        <v>49</v>
      </c>
      <c r="B42" s="10" t="n">
        <v>30</v>
      </c>
      <c r="C42" s="10" t="n">
        <v>70</v>
      </c>
      <c r="D42" s="10" t="n">
        <v>60</v>
      </c>
      <c r="E42" s="10" t="n">
        <v>80</v>
      </c>
      <c r="F42" s="10" t="n">
        <v>20</v>
      </c>
      <c r="G42" s="10" t="n">
        <v>70</v>
      </c>
      <c r="H42" s="10" t="n">
        <v>25</v>
      </c>
      <c r="I42" s="11" t="n">
        <f aca="false">SUM(B42:H42)</f>
        <v>355</v>
      </c>
      <c r="J42" s="12" t="n">
        <v>1.5</v>
      </c>
    </row>
    <row r="43" customFormat="false" ht="15.75" hidden="false" customHeight="true" outlineLevel="0" collapsed="false">
      <c r="A43" s="9" t="s">
        <v>50</v>
      </c>
      <c r="B43" s="10" t="n">
        <v>25</v>
      </c>
      <c r="C43" s="10" t="n">
        <v>60</v>
      </c>
      <c r="D43" s="10" t="n">
        <v>50</v>
      </c>
      <c r="E43" s="10" t="n">
        <v>70</v>
      </c>
      <c r="F43" s="10" t="n">
        <v>20</v>
      </c>
      <c r="G43" s="10" t="n">
        <v>60</v>
      </c>
      <c r="H43" s="10" t="n">
        <v>20</v>
      </c>
      <c r="I43" s="11" t="n">
        <f aca="false">SUM(B43:H43)</f>
        <v>305</v>
      </c>
      <c r="J43" s="12" t="n">
        <v>1</v>
      </c>
    </row>
    <row r="44" customFormat="false" ht="15.75" hidden="false" customHeight="true" outlineLevel="0" collapsed="false">
      <c r="A44" s="9" t="s">
        <v>51</v>
      </c>
      <c r="B44" s="10" t="n">
        <v>30</v>
      </c>
      <c r="C44" s="10" t="n">
        <v>70</v>
      </c>
      <c r="D44" s="10" t="n">
        <v>70</v>
      </c>
      <c r="E44" s="10" t="n">
        <v>90</v>
      </c>
      <c r="F44" s="10" t="n">
        <v>25</v>
      </c>
      <c r="G44" s="10" t="n">
        <v>80</v>
      </c>
      <c r="H44" s="10" t="n">
        <v>25</v>
      </c>
      <c r="I44" s="11" t="n">
        <f aca="false">SUM(B44:H44)</f>
        <v>390</v>
      </c>
      <c r="J44" s="12" t="n">
        <v>1.5</v>
      </c>
    </row>
    <row r="45" customFormat="false" ht="18" hidden="false" customHeight="true" outlineLevel="0" collapsed="false">
      <c r="A45" s="4" t="s">
        <v>52</v>
      </c>
      <c r="B45" s="4"/>
      <c r="C45" s="4"/>
      <c r="D45" s="4"/>
      <c r="E45" s="4"/>
      <c r="F45" s="4"/>
      <c r="G45" s="4"/>
      <c r="H45" s="4"/>
      <c r="I45" s="4"/>
      <c r="J45" s="4"/>
    </row>
    <row r="46" customFormat="false" ht="15.75" hidden="false" customHeight="true" outlineLevel="0" collapsed="false">
      <c r="A46" s="9" t="s">
        <v>53</v>
      </c>
      <c r="B46" s="10" t="n">
        <v>0</v>
      </c>
      <c r="C46" s="10" t="n">
        <v>0</v>
      </c>
      <c r="D46" s="10" t="n">
        <v>0</v>
      </c>
      <c r="E46" s="10" t="n">
        <v>0</v>
      </c>
      <c r="F46" s="10" t="n">
        <v>80</v>
      </c>
      <c r="G46" s="10" t="n">
        <v>160</v>
      </c>
      <c r="H46" s="10" t="n">
        <v>40</v>
      </c>
      <c r="I46" s="11" t="n">
        <f aca="false">SUM(B46:H46)</f>
        <v>280</v>
      </c>
      <c r="J46" s="12" t="n">
        <v>3</v>
      </c>
    </row>
    <row r="47" customFormat="false" ht="15.75" hidden="false" customHeight="true" outlineLevel="0" collapsed="false">
      <c r="A47" s="9" t="s">
        <v>54</v>
      </c>
      <c r="B47" s="10" t="n">
        <v>0</v>
      </c>
      <c r="C47" s="10" t="n">
        <v>60</v>
      </c>
      <c r="D47" s="10" t="n">
        <v>50</v>
      </c>
      <c r="E47" s="10" t="n">
        <v>60</v>
      </c>
      <c r="F47" s="10" t="n">
        <v>0</v>
      </c>
      <c r="G47" s="10" t="n">
        <v>0</v>
      </c>
      <c r="H47" s="10" t="n">
        <v>0</v>
      </c>
      <c r="I47" s="11" t="n">
        <f aca="false">SUM(B47:H47)</f>
        <v>170</v>
      </c>
      <c r="J47" s="12" t="n">
        <v>1.5</v>
      </c>
    </row>
    <row r="48" customFormat="false" ht="15.75" hidden="false" customHeight="true" outlineLevel="0" collapsed="false">
      <c r="A48" s="9" t="s">
        <v>55</v>
      </c>
      <c r="B48" s="10" t="n">
        <v>30</v>
      </c>
      <c r="C48" s="10" t="n">
        <v>60</v>
      </c>
      <c r="D48" s="10" t="n">
        <v>40</v>
      </c>
      <c r="E48" s="10" t="n">
        <v>60</v>
      </c>
      <c r="F48" s="10" t="n">
        <v>20</v>
      </c>
      <c r="G48" s="10" t="n">
        <v>40</v>
      </c>
      <c r="H48" s="10" t="n">
        <v>20</v>
      </c>
      <c r="I48" s="11" t="n">
        <f aca="false">SUM(B48:H48)</f>
        <v>270</v>
      </c>
      <c r="J48" s="12" t="n">
        <v>1</v>
      </c>
    </row>
    <row r="49" customFormat="false" ht="7.5" hidden="false" customHeight="true" outlineLevel="0" collapsed="false"/>
    <row r="50" customFormat="false" ht="21.75" hidden="false" customHeight="true" outlineLevel="0" collapsed="false">
      <c r="A50" s="13" t="s">
        <v>56</v>
      </c>
      <c r="B50" s="14" t="n">
        <f aca="false">B6+B7+B8+B9+B10+B11+B13+B14+B15+B16+B18+B19+B21+B22+B23+B24+B26+B27+B28+B29+B31+B33+B34+B35+B37+B38+B39+B41+B42+B43+B44+B46+B47+B48</f>
        <v>1150.73</v>
      </c>
      <c r="C50" s="14" t="n">
        <f aca="false">C6+C7+C8+C9+C10+C11+C13+C14+C15+C16+C18+C19+C21+C22+C23+C24+C26+C27+C28+C29+C31+C33+C34+C35+C37+C38+C39+C41+C42+C43+C44+C46+C47+C48</f>
        <v>3098.77</v>
      </c>
      <c r="D50" s="14" t="n">
        <f aca="false">D6+D7+D8+D9+D10+D11+D13+D14+D15+D16+D18+D19+D21+D22+D23+D24+D26+D27+D28+D29+D31+D33+D34+D35+D37+D38+D39+D41+D42+D43+D44+D46+D47+D48</f>
        <v>2420.05</v>
      </c>
      <c r="E50" s="14" t="n">
        <f aca="false">E6+E7+E8+E9+E10+E11+E13+E14+E15+E16+E18+E19+E21+E22+E23+E24+E26+E27+E28+E29+E31+E33+E34+E35+E37+E38+E39+E41+E42+E43+E44+E46+E47+E48</f>
        <v>3099.21</v>
      </c>
      <c r="F50" s="14" t="n">
        <f aca="false">F6+F7+F8+F9+F10+F11+F13+F14+F15+F16+F18+F19+F21+F22+F23+F24+F26+F27+F28+F29+F31+F33+F34+F35+F37+F38+F39+F41+F42+F43+F44+F46+F47+F48</f>
        <v>948.05</v>
      </c>
      <c r="G50" s="14" t="n">
        <f aca="false">G6+G7+G8+G9+G10+G11+G13+G14+G15+G16+G18+G19+G21+G22+G23+G24+G26+G27+G28+G29+G31+G33+G34+G35+G37+G38+G39+G41+G42+G43+G44+G46+G47+G48</f>
        <v>3031.32</v>
      </c>
      <c r="H50" s="14" t="n">
        <f aca="false">H6+H7+H8+H9+H10+H11+H13+H14+H15+H16+H18+H19+H21+H22+H23+H24+H26+H27+H28+H29+H31+H33+H34+H35+H37+H38+H39+H41+H42+H43+H44+H46+H47+H48</f>
        <v>999.16</v>
      </c>
      <c r="I50" s="15" t="n">
        <f aca="false">SUM(B50:H50)</f>
        <v>14747.29</v>
      </c>
      <c r="J50" s="3" t="n">
        <f aca="false">J6+ J7+ J8+ J9+ J10+ J11+ J13+ J14+ J15+ J16+ J18+ J19+ J21+ J22+ J23+ J24+ J26+ J27+ J28+ J29+ J31+ J33+ J34+ J35+ J37+ J38+ J39+ J41+ J42+ J43+ J44+ J46+ J47+ J48</f>
        <v>67</v>
      </c>
    </row>
    <row r="52" customFormat="false" ht="15" hidden="false" customHeight="true" outlineLevel="0" collapsed="false">
      <c r="A52" s="2" t="s">
        <v>57</v>
      </c>
      <c r="B52" s="2"/>
      <c r="C52" s="2"/>
      <c r="D52" s="2"/>
      <c r="E52" s="2"/>
      <c r="F52" s="2"/>
      <c r="G52" s="2"/>
      <c r="H52" s="2"/>
      <c r="I52" s="2"/>
      <c r="J52" s="2"/>
    </row>
    <row r="53" customFormat="false" ht="15" hidden="false" customHeight="true" outlineLevel="0" collapsed="false">
      <c r="A53" s="2" t="s">
        <v>58</v>
      </c>
      <c r="B53" s="2"/>
      <c r="C53" s="2"/>
      <c r="D53" s="2"/>
      <c r="E53" s="2"/>
      <c r="F53" s="2"/>
      <c r="G53" s="2"/>
      <c r="H53" s="2"/>
      <c r="I53" s="2"/>
      <c r="J53" s="2"/>
    </row>
    <row r="54" customFormat="false" ht="15" hidden="false" customHeight="true" outlineLevel="0" collapsed="false">
      <c r="A54" s="16" t="s">
        <v>59</v>
      </c>
      <c r="B54" s="16"/>
      <c r="C54" s="16"/>
      <c r="D54" s="16"/>
      <c r="E54" s="16"/>
      <c r="F54" s="16"/>
      <c r="G54" s="16"/>
      <c r="H54" s="16"/>
      <c r="I54" s="16"/>
      <c r="J54" s="16"/>
    </row>
  </sheetData>
  <mergeCells count="15">
    <mergeCell ref="A1:J1"/>
    <mergeCell ref="A2:J2"/>
    <mergeCell ref="A5:J5"/>
    <mergeCell ref="A12:J12"/>
    <mergeCell ref="A17:J17"/>
    <mergeCell ref="A20:J20"/>
    <mergeCell ref="A25:J25"/>
    <mergeCell ref="A30:J30"/>
    <mergeCell ref="A32:J32"/>
    <mergeCell ref="A36:J36"/>
    <mergeCell ref="A40:J40"/>
    <mergeCell ref="A45:J45"/>
    <mergeCell ref="A52:J52"/>
    <mergeCell ref="A53:J53"/>
    <mergeCell ref="A54:J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2026-03-07T10:18:46Z</dcterms:created>
  <dc:creator>openpyxl</dc:creator>
  <dc:description/>
  <dc:language>en-US</dc:language>
  <cp:lastModifiedBy/>
  <dcterms:modified xsi:type="dcterms:W3CDTF">2026-03-07T10:18:46Z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